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vturn\Downloads\"/>
    </mc:Choice>
  </mc:AlternateContent>
  <bookViews>
    <workbookView xWindow="0" yWindow="0" windowWidth="8980" windowHeight="5440" tabRatio="626" activeTab="1"/>
  </bookViews>
  <sheets>
    <sheet name="Tuition Averages" sheetId="4" r:id="rId1"/>
    <sheet name="CollegeRanking" sheetId="1" r:id="rId2"/>
    <sheet name="Averages" sheetId="5" r:id="rId3"/>
  </sheet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L1" i="5" l="1"/>
  <c r="A120" i="1"/>
  <c r="D106" i="1"/>
  <c r="F105" i="1"/>
  <c r="F104" i="1"/>
  <c r="F103" i="1"/>
  <c r="G102" i="1"/>
  <c r="G103" i="1"/>
  <c r="C103" i="1"/>
  <c r="B4" i="5" l="1"/>
  <c r="B5" i="5"/>
  <c r="E5" i="5"/>
  <c r="J5" i="5"/>
  <c r="I5" i="5"/>
  <c r="H5" i="5"/>
  <c r="G5" i="5"/>
  <c r="F5" i="5"/>
  <c r="E4" i="5"/>
  <c r="C5" i="5"/>
  <c r="J4" i="5"/>
  <c r="I4" i="5"/>
  <c r="H4" i="5"/>
  <c r="G4" i="5"/>
  <c r="F4" i="5"/>
  <c r="C4" i="5"/>
</calcChain>
</file>

<file path=xl/comments1.xml><?xml version="1.0" encoding="utf-8"?>
<comments xmlns="http://schemas.openxmlformats.org/spreadsheetml/2006/main">
  <authors>
    <author>Vernice Turnbull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 xml:space="preserve">
Joshua:</t>
        </r>
        <r>
          <rPr>
            <sz val="9"/>
            <color indexed="81"/>
            <rFont val="Tahoma"/>
            <family val="2"/>
          </rPr>
          <t xml:space="preserve">
Red repersents a higher tuition cost, the deeprer the hue the higher the tuition cost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 xml:space="preserve">
Joshua:</t>
        </r>
        <r>
          <rPr>
            <sz val="9"/>
            <color indexed="81"/>
            <rFont val="Tahoma"/>
            <family val="2"/>
          </rPr>
          <t xml:space="preserve">
The top 10% is repersented in red and the bottom 10% is repersented in green.</t>
        </r>
      </text>
    </comment>
    <comment ref="H3" authorId="0" shapeId="0">
      <text>
        <r>
          <rPr>
            <b/>
            <sz val="9"/>
            <color indexed="81"/>
            <rFont val="Tahoma"/>
            <family val="2"/>
          </rPr>
          <t>Joshua: 
Green arrow repersents the school being in the top 10, and yellow bar means below.</t>
        </r>
      </text>
    </comment>
    <comment ref="E5" authorId="0" shapeId="0">
      <text>
        <r>
          <rPr>
            <b/>
            <sz val="9"/>
            <color indexed="81"/>
            <rFont val="Tahoma"/>
            <family val="2"/>
          </rPr>
          <t>Joshua:</t>
        </r>
        <r>
          <rPr>
            <sz val="9"/>
            <color indexed="81"/>
            <rFont val="Tahoma"/>
            <family val="2"/>
          </rPr>
          <t xml:space="preserve">
Yellow repersents an average, neither too high or too low, the mean.</t>
        </r>
      </text>
    </comment>
    <comment ref="E14" authorId="0" shapeId="0">
      <text>
        <r>
          <rPr>
            <b/>
            <sz val="9"/>
            <color indexed="81"/>
            <rFont val="Tahoma"/>
            <family val="2"/>
          </rPr>
          <t>Joshua:</t>
        </r>
        <r>
          <rPr>
            <sz val="9"/>
            <color indexed="81"/>
            <rFont val="Tahoma"/>
            <family val="2"/>
          </rPr>
          <t xml:space="preserve">
Green repersents lower Tuition cost, the deeper the hue the lower the cost</t>
        </r>
      </text>
    </comment>
  </commentList>
</comments>
</file>

<file path=xl/comments2.xml><?xml version="1.0" encoding="utf-8"?>
<comments xmlns="http://schemas.openxmlformats.org/spreadsheetml/2006/main">
  <authors>
    <author>Vernice Turnbull</author>
  </authors>
  <commentList>
    <comment ref="B2" authorId="0" shapeId="0">
      <text>
        <r>
          <rPr>
            <sz val="9"/>
            <color indexed="81"/>
            <rFont val="Tahoma"/>
            <family val="2"/>
          </rPr>
          <t xml:space="preserve">Where I used the average formula is highlighed in a deep blue.
</t>
        </r>
      </text>
    </comment>
    <comment ref="C2" authorId="0" shapeId="0">
      <text>
        <r>
          <rPr>
            <sz val="9"/>
            <color indexed="81"/>
            <rFont val="Tahoma"/>
            <family val="2"/>
          </rPr>
          <t xml:space="preserve">Where I used the mode formula is repersented in yellow.
</t>
        </r>
      </text>
    </comment>
  </commentList>
</comments>
</file>

<file path=xl/sharedStrings.xml><?xml version="1.0" encoding="utf-8"?>
<sst xmlns="http://schemas.openxmlformats.org/spreadsheetml/2006/main" count="476" uniqueCount="209">
  <si>
    <t>World Rank</t>
  </si>
  <si>
    <t>Institution</t>
  </si>
  <si>
    <t>Country</t>
  </si>
  <si>
    <t>State</t>
  </si>
  <si>
    <t xml:space="preserve">Tuition </t>
  </si>
  <si>
    <t>Acceptance Rate</t>
  </si>
  <si>
    <t>Class</t>
  </si>
  <si>
    <t>Country Rank</t>
  </si>
  <si>
    <t>Education Rank</t>
  </si>
  <si>
    <t>Employability Rank</t>
  </si>
  <si>
    <t>Faculty Rank</t>
  </si>
  <si>
    <t>Research Rank</t>
  </si>
  <si>
    <t>Score</t>
  </si>
  <si>
    <t xml:space="preserve">Harvard University  </t>
  </si>
  <si>
    <t>USA</t>
  </si>
  <si>
    <t>Massachusetts</t>
  </si>
  <si>
    <t>Private</t>
  </si>
  <si>
    <t xml:space="preserve">Massachusetts Institute of Technology  </t>
  </si>
  <si>
    <t xml:space="preserve">Stanford University  </t>
  </si>
  <si>
    <t>California</t>
  </si>
  <si>
    <t xml:space="preserve">University of Cambridge </t>
  </si>
  <si>
    <t>United Kingdom</t>
  </si>
  <si>
    <t>England</t>
  </si>
  <si>
    <t>Public</t>
  </si>
  <si>
    <t xml:space="preserve">Princeton University  </t>
  </si>
  <si>
    <t>New Jersey</t>
  </si>
  <si>
    <t xml:space="preserve">University of Chicago  </t>
  </si>
  <si>
    <t>Illinois</t>
  </si>
  <si>
    <t>New York</t>
  </si>
  <si>
    <t xml:space="preserve">University of Pennsylvania  </t>
  </si>
  <si>
    <t>Pennsylvania</t>
  </si>
  <si>
    <t xml:space="preserve">California Institute of Technology  </t>
  </si>
  <si>
    <t xml:space="preserve">Yale University </t>
  </si>
  <si>
    <t>Connecticut</t>
  </si>
  <si>
    <t xml:space="preserve">University of California, Berkeley  </t>
  </si>
  <si>
    <t>University of Tokyo</t>
  </si>
  <si>
    <t>Japan</t>
  </si>
  <si>
    <t>Tokyo</t>
  </si>
  <si>
    <t>Cornell University</t>
  </si>
  <si>
    <t>University of Michigan, Ann Arbor</t>
  </si>
  <si>
    <t>Michigan</t>
  </si>
  <si>
    <t>Johns Hopkins University</t>
  </si>
  <si>
    <t>Maryland</t>
  </si>
  <si>
    <t>Northwestern University</t>
  </si>
  <si>
    <t>University of California, Los Angeles</t>
  </si>
  <si>
    <t>PSL University</t>
  </si>
  <si>
    <t>France</t>
  </si>
  <si>
    <t>Paris</t>
  </si>
  <si>
    <t>Duke University</t>
  </si>
  <si>
    <t>North Carolina</t>
  </si>
  <si>
    <t>University College London</t>
  </si>
  <si>
    <t>London</t>
  </si>
  <si>
    <t>University of Illinois at Urbana–Champaign</t>
  </si>
  <si>
    <t>New York University</t>
  </si>
  <si>
    <t>NewYork</t>
  </si>
  <si>
    <t>University of Toronto</t>
  </si>
  <si>
    <t>Canada</t>
  </si>
  <si>
    <t>Toronto</t>
  </si>
  <si>
    <t>University of Washington</t>
  </si>
  <si>
    <t>Washington</t>
  </si>
  <si>
    <t>Kyoto University</t>
  </si>
  <si>
    <t>Kyoto</t>
  </si>
  <si>
    <t>University of Wisconsin–Madison</t>
  </si>
  <si>
    <t>Wisconsin</t>
  </si>
  <si>
    <t>McGill University</t>
  </si>
  <si>
    <t>Quebec</t>
  </si>
  <si>
    <t>ETH Zurich</t>
  </si>
  <si>
    <t>Switzerland</t>
  </si>
  <si>
    <t>Zurich</t>
  </si>
  <si>
    <t>Imperial College London</t>
  </si>
  <si>
    <t>Seoul National University</t>
  </si>
  <si>
    <t>South Korea</t>
  </si>
  <si>
    <t>Seoul</t>
  </si>
  <si>
    <t>Paris-Saclay University</t>
  </si>
  <si>
    <t>University of Texas at Austin</t>
  </si>
  <si>
    <t>Texas</t>
  </si>
  <si>
    <t>University of California, San Diego</t>
  </si>
  <si>
    <t>University of California, San Francisco</t>
  </si>
  <si>
    <t>-</t>
  </si>
  <si>
    <t>University of Copenhagen</t>
  </si>
  <si>
    <t>Denmark</t>
  </si>
  <si>
    <t>Copenhagen</t>
  </si>
  <si>
    <t>Karolinska Institute</t>
  </si>
  <si>
    <t>Sweden</t>
  </si>
  <si>
    <t xml:space="preserve">Solna </t>
  </si>
  <si>
    <t>Sorbonne University</t>
  </si>
  <si>
    <t>University of North Carolina at Chapel Hill</t>
  </si>
  <si>
    <t>King's College London</t>
  </si>
  <si>
    <t>Dartmouth College</t>
  </si>
  <si>
    <t>New Hampshire</t>
  </si>
  <si>
    <t>Paris City University</t>
  </si>
  <si>
    <t>Institut Polytechnique de Paris</t>
  </si>
  <si>
    <t>Palaiseau</t>
  </si>
  <si>
    <t>Ludwig Maximilian University of Munich</t>
  </si>
  <si>
    <t>Germany</t>
  </si>
  <si>
    <t>Munchen</t>
  </si>
  <si>
    <t>University of Edinburgh</t>
  </si>
  <si>
    <t>Scotland</t>
  </si>
  <si>
    <t>Washington University in St. Louis</t>
  </si>
  <si>
    <t>Missouri</t>
  </si>
  <si>
    <t>Tsinghua University</t>
  </si>
  <si>
    <t>China</t>
  </si>
  <si>
    <t xml:space="preserve">Tsinghua </t>
  </si>
  <si>
    <t xml:space="preserve">University of Minnesota </t>
  </si>
  <si>
    <t>Minnesota</t>
  </si>
  <si>
    <t>University of British Columbia</t>
  </si>
  <si>
    <t>British Columbia</t>
  </si>
  <si>
    <t>University of Southern California</t>
  </si>
  <si>
    <t>Peking University</t>
  </si>
  <si>
    <t>Beijing</t>
  </si>
  <si>
    <t>Vanderbilt University</t>
  </si>
  <si>
    <t>Tennessee</t>
  </si>
  <si>
    <t>Pennsylvania State University</t>
  </si>
  <si>
    <t>University of California, Davis</t>
  </si>
  <si>
    <t>Rockefeller University</t>
  </si>
  <si>
    <t>Free University of Berlin</t>
  </si>
  <si>
    <t>Berlin</t>
  </si>
  <si>
    <t>Rutgers University</t>
  </si>
  <si>
    <t>University of Melbourne</t>
  </si>
  <si>
    <t>Australia</t>
  </si>
  <si>
    <t xml:space="preserve">Melbourne </t>
  </si>
  <si>
    <t>Ohio State University</t>
  </si>
  <si>
    <t>Ohio</t>
  </si>
  <si>
    <t>University of Manchester</t>
  </si>
  <si>
    <t>Humboldt University of Berlin</t>
  </si>
  <si>
    <t>Texas A&amp;M University</t>
  </si>
  <si>
    <t>University of Chinese Academy of Sciences</t>
  </si>
  <si>
    <t>University of Zurich</t>
  </si>
  <si>
    <t>Purdue University</t>
  </si>
  <si>
    <t>Indiana</t>
  </si>
  <si>
    <t>Brown University</t>
  </si>
  <si>
    <t>Rhode Island,</t>
  </si>
  <si>
    <t>Hebrew University of Jerusalem</t>
  </si>
  <si>
    <t>Israel</t>
  </si>
  <si>
    <t xml:space="preserve"> Jerusalem</t>
  </si>
  <si>
    <t>Georgia Institute of Technology</t>
  </si>
  <si>
    <t>Georigia</t>
  </si>
  <si>
    <t>University of Colorado Boulder</t>
  </si>
  <si>
    <t>Colorado</t>
  </si>
  <si>
    <t>Heidelberg University</t>
  </si>
  <si>
    <t>Heidelberg</t>
  </si>
  <si>
    <t>University of Virginia</t>
  </si>
  <si>
    <t>Virginia</t>
  </si>
  <si>
    <t>University of Texas Southwestern Medical Center</t>
  </si>
  <si>
    <t>Utrecht University</t>
  </si>
  <si>
    <t>Netherlands</t>
  </si>
  <si>
    <t>Utrecht</t>
  </si>
  <si>
    <t>Weizmann Institute of Science</t>
  </si>
  <si>
    <t>Weizmann</t>
  </si>
  <si>
    <t>University of Pittsburgh</t>
  </si>
  <si>
    <t>University of Maryland, College Park</t>
  </si>
  <si>
    <t>University of Alberta</t>
  </si>
  <si>
    <t>Alberta</t>
  </si>
  <si>
    <t>University of Oslo</t>
  </si>
  <si>
    <t>Norway</t>
  </si>
  <si>
    <t>Problemveien</t>
  </si>
  <si>
    <t>Technical University of Munich</t>
  </si>
  <si>
    <t>Munich</t>
  </si>
  <si>
    <t>Shanghai Jiao Tong University</t>
  </si>
  <si>
    <t>Shanghai</t>
  </si>
  <si>
    <t>University of California, Irvine</t>
  </si>
  <si>
    <t xml:space="preserve">California </t>
  </si>
  <si>
    <t>University of Birmingham</t>
  </si>
  <si>
    <t>University of Amsterdam</t>
  </si>
  <si>
    <t>University of Florida</t>
  </si>
  <si>
    <t>Florida</t>
  </si>
  <si>
    <t>National University of Singapore</t>
  </si>
  <si>
    <t>Singapore</t>
  </si>
  <si>
    <t>Carnegie Mellon University</t>
  </si>
  <si>
    <t>Leiden University</t>
  </si>
  <si>
    <t>South Holland</t>
  </si>
  <si>
    <t>Uppsala University</t>
  </si>
  <si>
    <t>Uppsala</t>
  </si>
  <si>
    <t>University of Gottingen</t>
  </si>
  <si>
    <t>Gottingen</t>
  </si>
  <si>
    <t>University of California, Santa Barbara</t>
  </si>
  <si>
    <t>University of Rochester</t>
  </si>
  <si>
    <t>Osaka University</t>
  </si>
  <si>
    <t>Osaka Prefecture</t>
  </si>
  <si>
    <t>University of Arizona</t>
  </si>
  <si>
    <t>Arizona</t>
  </si>
  <si>
    <t>University of Bristol</t>
  </si>
  <si>
    <t>Erasmus University Rotterdam</t>
  </si>
  <si>
    <t>National Taiwan University</t>
  </si>
  <si>
    <t>Taiwan</t>
  </si>
  <si>
    <t xml:space="preserve">Taipei </t>
  </si>
  <si>
    <t>Zhejiang University</t>
  </si>
  <si>
    <t>Zhejiang</t>
  </si>
  <si>
    <t>University of Sydney</t>
  </si>
  <si>
    <t>Sydney</t>
  </si>
  <si>
    <t>Boston University</t>
  </si>
  <si>
    <t>Keio University</t>
  </si>
  <si>
    <t>Not Listed</t>
  </si>
  <si>
    <t>Total</t>
  </si>
  <si>
    <t>California: 6</t>
  </si>
  <si>
    <t>USA: 22</t>
  </si>
  <si>
    <t>College Ranking Averages &amp; Mode</t>
  </si>
  <si>
    <t>Bottom 50</t>
  </si>
  <si>
    <t>Key:</t>
  </si>
  <si>
    <t>AVERAGE</t>
  </si>
  <si>
    <t>MODE</t>
  </si>
  <si>
    <t>USA: 27</t>
  </si>
  <si>
    <t>Group</t>
  </si>
  <si>
    <t>Average Tuition per Country</t>
  </si>
  <si>
    <t xml:space="preserve">Top 50 </t>
  </si>
  <si>
    <t>Pennsylvania: 3</t>
  </si>
  <si>
    <t xml:space="preserve">University of Oxford </t>
  </si>
  <si>
    <t>Columbia University</t>
  </si>
  <si>
    <t>Quick Insight: The values in the tables below are rounded for readibility, values in the chart are exact.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</si>
</sst>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;[Red]&quot;$&quot;#,##0.00"/>
    <numFmt numFmtId="165" formatCode="&quot;$&quot;#,##0.00"/>
    <numFmt numFmtId="166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8"/>
      <color rgb="FF7F7F7F"/>
      <name val="Calibri"/>
      <family val="2"/>
      <scheme val="minor"/>
    </font>
    <font>
      <sz val="13"/>
      <name val="Calibri"/>
      <family val="2"/>
      <scheme val="minor"/>
    </font>
    <font>
      <sz val="11"/>
      <color rgb="FF3F3F3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 style="double">
        <color rgb="FF3F3F3F"/>
      </left>
      <right/>
      <top style="thin">
        <color theme="4" tint="0.39997558519241921"/>
      </top>
      <bottom/>
      <diagonal/>
    </border>
    <border>
      <left style="double">
        <color rgb="FF3F3F3F"/>
      </left>
      <right style="double">
        <color rgb="FF3F3F3F"/>
      </right>
      <top style="thin">
        <color theme="4" tint="0.39997558519241921"/>
      </top>
      <bottom/>
      <diagonal/>
    </border>
    <border>
      <left/>
      <right/>
      <top style="double">
        <color rgb="FF3F3F3F"/>
      </top>
      <bottom/>
      <diagonal/>
    </border>
    <border>
      <left style="thin">
        <color rgb="FFB2B2B2"/>
      </left>
      <right/>
      <top style="double">
        <color rgb="FF3F3F3F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ck">
        <color theme="4" tint="0.49998474074526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165" fontId="0" fillId="0" borderId="0" xfId="0" applyNumberFormat="1"/>
    <xf numFmtId="0" fontId="18" fillId="0" borderId="0" xfId="0" applyFont="1"/>
    <xf numFmtId="0" fontId="17" fillId="9" borderId="0" xfId="0" applyFont="1" applyFill="1" applyAlignment="1">
      <alignment horizontal="left"/>
    </xf>
    <xf numFmtId="165" fontId="17" fillId="9" borderId="0" xfId="0" applyNumberFormat="1" applyFont="1" applyFill="1"/>
    <xf numFmtId="0" fontId="16" fillId="0" borderId="0" xfId="0" applyFont="1"/>
    <xf numFmtId="0" fontId="18" fillId="33" borderId="0" xfId="0" applyFont="1" applyFill="1"/>
    <xf numFmtId="0" fontId="18" fillId="0" borderId="0" xfId="0" applyFont="1" applyAlignment="1">
      <alignment horizontal="left"/>
    </xf>
    <xf numFmtId="0" fontId="21" fillId="0" borderId="0" xfId="16" applyFont="1"/>
    <xf numFmtId="0" fontId="1" fillId="8" borderId="8" xfId="15" applyFont="1"/>
    <xf numFmtId="0" fontId="5" fillId="2" borderId="3" xfId="4" applyFill="1"/>
    <xf numFmtId="0" fontId="13" fillId="7" borderId="13" xfId="13" applyFont="1" applyFill="1" applyBorder="1"/>
    <xf numFmtId="0" fontId="13" fillId="7" borderId="14" xfId="13" applyFont="1" applyFill="1" applyBorder="1"/>
    <xf numFmtId="0" fontId="13" fillId="7" borderId="15" xfId="13" applyFont="1" applyFill="1" applyBorder="1"/>
    <xf numFmtId="0" fontId="22" fillId="34" borderId="11" xfId="3" applyFont="1" applyFill="1" applyBorder="1"/>
    <xf numFmtId="0" fontId="13" fillId="35" borderId="0" xfId="0" applyFont="1" applyFill="1" applyBorder="1"/>
    <xf numFmtId="0" fontId="22" fillId="34" borderId="21" xfId="3" applyFont="1" applyFill="1" applyBorder="1"/>
    <xf numFmtId="9" fontId="17" fillId="25" borderId="16" xfId="34" applyNumberFormat="1" applyFont="1" applyFill="1" applyBorder="1" applyAlignment="1">
      <alignment horizontal="center" vertical="center"/>
    </xf>
    <xf numFmtId="9" fontId="17" fillId="25" borderId="10" xfId="34" applyNumberFormat="1" applyFont="1" applyFill="1" applyBorder="1" applyAlignment="1">
      <alignment horizontal="center"/>
    </xf>
    <xf numFmtId="0" fontId="0" fillId="8" borderId="17" xfId="15" applyFont="1" applyFill="1" applyBorder="1" applyAlignment="1">
      <alignment horizontal="center"/>
    </xf>
    <xf numFmtId="0" fontId="0" fillId="8" borderId="17" xfId="15" applyFont="1" applyFill="1" applyBorder="1" applyAlignment="1">
      <alignment horizontal="center" vertical="center"/>
    </xf>
    <xf numFmtId="1" fontId="17" fillId="25" borderId="17" xfId="34" applyNumberFormat="1" applyFont="1" applyFill="1" applyBorder="1" applyAlignment="1">
      <alignment horizontal="center"/>
    </xf>
    <xf numFmtId="1" fontId="17" fillId="25" borderId="16" xfId="34" applyNumberFormat="1" applyFont="1" applyFill="1" applyBorder="1" applyAlignment="1">
      <alignment horizontal="center"/>
    </xf>
    <xf numFmtId="2" fontId="17" fillId="25" borderId="16" xfId="34" applyNumberFormat="1" applyFont="1" applyFill="1" applyBorder="1" applyAlignment="1">
      <alignment horizontal="center"/>
    </xf>
    <xf numFmtId="0" fontId="0" fillId="8" borderId="19" xfId="15" applyFont="1" applyFill="1" applyBorder="1" applyAlignment="1">
      <alignment horizontal="center"/>
    </xf>
    <xf numFmtId="0" fontId="0" fillId="8" borderId="19" xfId="15" applyFont="1" applyFill="1" applyBorder="1" applyAlignment="1">
      <alignment horizontal="center" vertical="center"/>
    </xf>
    <xf numFmtId="1" fontId="17" fillId="25" borderId="20" xfId="34" applyNumberFormat="1" applyFont="1" applyFill="1" applyBorder="1" applyAlignment="1">
      <alignment horizontal="center"/>
    </xf>
    <xf numFmtId="1" fontId="17" fillId="25" borderId="10" xfId="34" applyNumberFormat="1" applyFont="1" applyFill="1" applyBorder="1" applyAlignment="1">
      <alignment horizontal="center"/>
    </xf>
    <xf numFmtId="2" fontId="17" fillId="25" borderId="10" xfId="34" applyNumberFormat="1" applyFont="1" applyFill="1" applyBorder="1" applyAlignment="1">
      <alignment horizontal="center"/>
    </xf>
    <xf numFmtId="165" fontId="17" fillId="25" borderId="16" xfId="34" applyNumberFormat="1" applyFont="1" applyFill="1" applyBorder="1" applyAlignment="1">
      <alignment horizontal="center"/>
    </xf>
    <xf numFmtId="0" fontId="0" fillId="8" borderId="18" xfId="15" applyFont="1" applyFill="1" applyBorder="1" applyAlignment="1">
      <alignment horizontal="center"/>
    </xf>
    <xf numFmtId="0" fontId="0" fillId="8" borderId="12" xfId="15" applyFont="1" applyFill="1" applyBorder="1" applyAlignment="1">
      <alignment horizontal="center"/>
    </xf>
    <xf numFmtId="165" fontId="17" fillId="25" borderId="10" xfId="34" applyNumberFormat="1" applyFont="1" applyFill="1" applyBorder="1" applyAlignment="1">
      <alignment horizontal="center"/>
    </xf>
    <xf numFmtId="0" fontId="0" fillId="8" borderId="8" xfId="15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vertical="center"/>
    </xf>
    <xf numFmtId="164" fontId="0" fillId="0" borderId="0" xfId="0" applyNumberFormat="1" applyFont="1"/>
    <xf numFmtId="166" fontId="1" fillId="6" borderId="5" xfId="42" applyNumberFormat="1" applyFont="1" applyFill="1" applyBorder="1"/>
    <xf numFmtId="166" fontId="23" fillId="6" borderId="5" xfId="42" applyNumberFormat="1" applyFont="1" applyFill="1" applyBorder="1"/>
    <xf numFmtId="166" fontId="23" fillId="6" borderId="5" xfId="42" applyNumberFormat="1" applyFont="1" applyFill="1" applyBorder="1" applyAlignment="1"/>
    <xf numFmtId="166" fontId="0" fillId="0" borderId="0" xfId="0" applyNumberFormat="1" applyFont="1"/>
    <xf numFmtId="1" fontId="0" fillId="0" borderId="0" xfId="0" applyNumberFormat="1" applyFont="1"/>
    <xf numFmtId="0" fontId="1" fillId="8" borderId="22" xfId="15" applyFont="1" applyBorder="1" applyAlignment="1">
      <alignment vertical="center" wrapText="1"/>
    </xf>
    <xf numFmtId="0" fontId="1" fillId="8" borderId="22" xfId="15" applyFont="1" applyBorder="1" applyAlignment="1">
      <alignment vertical="center"/>
    </xf>
    <xf numFmtId="164" fontId="1" fillId="8" borderId="22" xfId="15" applyNumberFormat="1" applyFont="1" applyBorder="1" applyAlignment="1">
      <alignment vertical="center"/>
    </xf>
    <xf numFmtId="166" fontId="1" fillId="8" borderId="22" xfId="15" applyNumberFormat="1" applyFont="1" applyBorder="1" applyAlignment="1">
      <alignment vertical="center" wrapText="1"/>
    </xf>
    <xf numFmtId="1" fontId="1" fillId="8" borderId="22" xfId="15" applyNumberFormat="1" applyFont="1" applyBorder="1" applyAlignment="1">
      <alignment vertical="center" wrapText="1"/>
    </xf>
    <xf numFmtId="165" fontId="0" fillId="0" borderId="0" xfId="0" applyNumberFormat="1" applyFont="1"/>
    <xf numFmtId="0" fontId="1" fillId="25" borderId="0" xfId="34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general" vertical="center" textRotation="0" wrapText="1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;[Red]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B2B2B2"/>
        </bottom>
      </border>
    </dxf>
    <dxf>
      <border outline="0">
        <top style="thin">
          <color rgb="FFB2B2B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ck">
          <color theme="4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color theme="0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[CollegeRanking.xlsx]Tuition Averages!PivotTable6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Tuition Averages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'Tuition Averages'!$B$3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'Tuition Averages'!$A$4:$A$21</c:f>
              <c:strCache>
                <c:ptCount val="17"/>
                <c:pt idx="0">
                  <c:v>Australia</c:v>
                </c:pt>
                <c:pt idx="1">
                  <c:v>Canada</c:v>
                </c:pt>
                <c:pt idx="2">
                  <c:v>China</c:v>
                </c:pt>
                <c:pt idx="3">
                  <c:v>Denmark</c:v>
                </c:pt>
                <c:pt idx="4">
                  <c:v>France</c:v>
                </c:pt>
                <c:pt idx="5">
                  <c:v>Germany</c:v>
                </c:pt>
                <c:pt idx="6">
                  <c:v>Israel</c:v>
                </c:pt>
                <c:pt idx="7">
                  <c:v>Japan</c:v>
                </c:pt>
                <c:pt idx="8">
                  <c:v>Netherlands</c:v>
                </c:pt>
                <c:pt idx="9">
                  <c:v>Norway</c:v>
                </c:pt>
                <c:pt idx="10">
                  <c:v>Singapore</c:v>
                </c:pt>
                <c:pt idx="11">
                  <c:v>South Korea</c:v>
                </c:pt>
                <c:pt idx="12">
                  <c:v>Sweden</c:v>
                </c:pt>
                <c:pt idx="13">
                  <c:v>Switzerland</c:v>
                </c:pt>
                <c:pt idx="14">
                  <c:v>Taiwan</c:v>
                </c:pt>
                <c:pt idx="15">
                  <c:v>United Kingdom</c:v>
                </c:pt>
                <c:pt idx="16">
                  <c:v>USA</c:v>
                </c:pt>
              </c:strCache>
            </c:strRef>
          </c:cat>
          <c:val>
            <c:numRef>
              <c:f>'Tuition Averages'!$B$4:$B$21</c:f>
              <c:numCache>
                <c:formatCode>"$"#,##0.00</c:formatCode>
                <c:ptCount val="17"/>
                <c:pt idx="0">
                  <c:v>56534.5</c:v>
                </c:pt>
                <c:pt idx="1">
                  <c:v>50774.75</c:v>
                </c:pt>
                <c:pt idx="2">
                  <c:v>13475.6</c:v>
                </c:pt>
                <c:pt idx="3">
                  <c:v>47200</c:v>
                </c:pt>
                <c:pt idx="4">
                  <c:v>39011.199999999997</c:v>
                </c:pt>
                <c:pt idx="5">
                  <c:v>16257.019999999999</c:v>
                </c:pt>
                <c:pt idx="6">
                  <c:v>20375</c:v>
                </c:pt>
                <c:pt idx="7">
                  <c:v>14631.75</c:v>
                </c:pt>
                <c:pt idx="8">
                  <c:v>235015</c:v>
                </c:pt>
                <c:pt idx="9">
                  <c:v>70</c:v>
                </c:pt>
                <c:pt idx="10">
                  <c:v>38250</c:v>
                </c:pt>
                <c:pt idx="11">
                  <c:v>48000</c:v>
                </c:pt>
                <c:pt idx="12">
                  <c:v>65760</c:v>
                </c:pt>
                <c:pt idx="13">
                  <c:v>6640</c:v>
                </c:pt>
                <c:pt idx="14">
                  <c:v>1682</c:v>
                </c:pt>
                <c:pt idx="15">
                  <c:v>80897</c:v>
                </c:pt>
                <c:pt idx="16">
                  <c:v>135328.88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0-436E-A823-73C91F81EB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67068480"/>
        <c:axId val="1167064736"/>
      </c:barChart>
      <c:catAx>
        <c:axId val="1167068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064736"/>
        <c:crosses val="autoZero"/>
        <c:auto val="1"/>
        <c:lblAlgn val="ctr"/>
        <c:lblOffset val="100"/>
        <c:noMultiLvlLbl val="0"/>
      </c:catAx>
      <c:valAx>
        <c:axId val="116706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0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Top 50 VS Bottom 50 </a:t>
            </a:r>
            <a:endParaRPr lang="en-US"/>
          </a:p>
        </c:rich>
      </c:tx>
      <c:layout>
        <c:manualLayout>
          <c:xMode val="edge"/>
          <c:yMode val="edge"/>
          <c:x val="0.71128693994280268"/>
          <c:y val="4.3010752688172043E-3"/>
        </c:manualLayout>
      </c:layout>
      <c:overlay val="0"/>
      <c:spPr>
        <a:solidFill>
          <a:schemeClr val="accent1"/>
        </a:solidFill>
        <a:ln w="12700" cap="flat" cmpd="sng" algn="ctr">
          <a:solidFill>
            <a:schemeClr val="bg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9203481143804394"/>
          <c:y val="2.3674653814824871E-2"/>
          <c:w val="0.78318627635660376"/>
          <c:h val="0.58646471274424028"/>
        </c:manualLayout>
      </c:layout>
      <c:barChart>
        <c:barDir val="col"/>
        <c:grouping val="clustered"/>
        <c:varyColors val="0"/>
        <c:ser>
          <c:idx val="0"/>
          <c:order val="0"/>
          <c:tx>
            <c:v>Average of Research Rank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Bottom 50</c:v>
              </c:pt>
              <c:pt idx="1">
                <c:v>Complete 100</c:v>
              </c:pt>
              <c:pt idx="2">
                <c:v>Top 50</c:v>
              </c:pt>
            </c:strLit>
          </c:cat>
          <c:val>
            <c:numLit>
              <c:formatCode>General</c:formatCode>
              <c:ptCount val="3"/>
              <c:pt idx="0">
                <c:v>104.96</c:v>
              </c:pt>
              <c:pt idx="1">
                <c:v>74.180000000000007</c:v>
              </c:pt>
              <c:pt idx="2">
                <c:v>43.4</c:v>
              </c:pt>
            </c:numLit>
          </c:val>
          <c:extLst>
            <c:ext xmlns:c16="http://schemas.microsoft.com/office/drawing/2014/chart" uri="{C3380CC4-5D6E-409C-BE32-E72D297353CC}">
              <c16:uniqueId val="{00000000-1254-4DC4-B3AE-3EE0838F01D9}"/>
            </c:ext>
          </c:extLst>
        </c:ser>
        <c:ser>
          <c:idx val="1"/>
          <c:order val="1"/>
          <c:tx>
            <c:v>Average of Faculty Rank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Bottom 50</c:v>
              </c:pt>
              <c:pt idx="1">
                <c:v>Complete 100</c:v>
              </c:pt>
              <c:pt idx="2">
                <c:v>Top 50</c:v>
              </c:pt>
            </c:strLit>
          </c:cat>
          <c:val>
            <c:numLit>
              <c:formatCode>General</c:formatCode>
              <c:ptCount val="3"/>
              <c:pt idx="0">
                <c:v>94.642857142857139</c:v>
              </c:pt>
              <c:pt idx="1">
                <c:v>67.230769230769226</c:v>
              </c:pt>
              <c:pt idx="2">
                <c:v>43.734693877551024</c:v>
              </c:pt>
            </c:numLit>
          </c:val>
          <c:extLst>
            <c:ext xmlns:c16="http://schemas.microsoft.com/office/drawing/2014/chart" uri="{C3380CC4-5D6E-409C-BE32-E72D297353CC}">
              <c16:uniqueId val="{00000001-1254-4DC4-B3AE-3EE0838F01D9}"/>
            </c:ext>
          </c:extLst>
        </c:ser>
        <c:ser>
          <c:idx val="2"/>
          <c:order val="2"/>
          <c:tx>
            <c:v>Average of Employability Rank</c:v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Bottom 50</c:v>
              </c:pt>
              <c:pt idx="1">
                <c:v>Complete 100</c:v>
              </c:pt>
              <c:pt idx="2">
                <c:v>Top 50</c:v>
              </c:pt>
            </c:strLit>
          </c:cat>
          <c:val>
            <c:numLit>
              <c:formatCode>General</c:formatCode>
              <c:ptCount val="3"/>
              <c:pt idx="0">
                <c:v>379.45652173913044</c:v>
              </c:pt>
              <c:pt idx="1">
                <c:v>288.48421052631579</c:v>
              </c:pt>
              <c:pt idx="2">
                <c:v>203.08163265306123</c:v>
              </c:pt>
            </c:numLit>
          </c:val>
          <c:extLst>
            <c:ext xmlns:c16="http://schemas.microsoft.com/office/drawing/2014/chart" uri="{C3380CC4-5D6E-409C-BE32-E72D297353CC}">
              <c16:uniqueId val="{00000002-1254-4DC4-B3AE-3EE0838F01D9}"/>
            </c:ext>
          </c:extLst>
        </c:ser>
        <c:ser>
          <c:idx val="3"/>
          <c:order val="3"/>
          <c:tx>
            <c:v>Sum of Education Rank</c:v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Bottom 50</c:v>
              </c:pt>
              <c:pt idx="1">
                <c:v>Complete 100</c:v>
              </c:pt>
              <c:pt idx="2">
                <c:v>Top 50</c:v>
              </c:pt>
            </c:strLit>
          </c:cat>
          <c:val>
            <c:numLit>
              <c:formatCode>General</c:formatCode>
              <c:ptCount val="3"/>
              <c:pt idx="0">
                <c:v>193.54347826086956</c:v>
              </c:pt>
              <c:pt idx="1">
                <c:v>133.30526315789473</c:v>
              </c:pt>
              <c:pt idx="2">
                <c:v>76.755102040816325</c:v>
              </c:pt>
            </c:numLit>
          </c:val>
          <c:extLst>
            <c:ext xmlns:c16="http://schemas.microsoft.com/office/drawing/2014/chart" uri="{C3380CC4-5D6E-409C-BE32-E72D297353CC}">
              <c16:uniqueId val="{00000003-1254-4DC4-B3AE-3EE0838F01D9}"/>
            </c:ext>
          </c:extLst>
        </c:ser>
        <c:ser>
          <c:idx val="4"/>
          <c:order val="4"/>
          <c:tx>
            <c:v>Sum of Score</c:v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Bottom 50</c:v>
              </c:pt>
              <c:pt idx="1">
                <c:v>Complete 100</c:v>
              </c:pt>
              <c:pt idx="2">
                <c:v>Top 50</c:v>
              </c:pt>
            </c:strLit>
          </c:cat>
          <c:val>
            <c:numLit>
              <c:formatCode>General</c:formatCode>
              <c:ptCount val="3"/>
              <c:pt idx="0">
                <c:v>83.012</c:v>
              </c:pt>
              <c:pt idx="1">
                <c:v>84.717999999999989</c:v>
              </c:pt>
              <c:pt idx="2">
                <c:v>86.424000000000021</c:v>
              </c:pt>
            </c:numLit>
          </c:val>
          <c:extLst>
            <c:ext xmlns:c16="http://schemas.microsoft.com/office/drawing/2014/chart" uri="{C3380CC4-5D6E-409C-BE32-E72D297353CC}">
              <c16:uniqueId val="{00000004-1254-4DC4-B3AE-3EE0838F0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329138512"/>
        <c:axId val="1329130608"/>
      </c:barChart>
      <c:catAx>
        <c:axId val="132913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30608"/>
        <c:crosses val="autoZero"/>
        <c:auto val="1"/>
        <c:lblAlgn val="ctr"/>
        <c:lblOffset val="100"/>
        <c:noMultiLvlLbl val="0"/>
      </c:catAx>
      <c:valAx>
        <c:axId val="132913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t" anchorCtr="1"/>
              <a:lstStyle/>
              <a:p>
                <a:pPr>
                  <a:defRPr sz="900" b="0" i="0" u="none" strike="noStrike" kern="1200" cap="all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n>
                      <a:noFill/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Values</a:t>
                </a:r>
                <a:endParaRPr lang="en-US">
                  <a:ln>
                    <a:noFill/>
                  </a:ln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9.3203883495145634E-2"/>
              <c:y val="0.61609082269888671"/>
            </c:manualLayout>
          </c:layout>
          <c:overlay val="0"/>
          <c:spPr>
            <a:solidFill>
              <a:schemeClr val="accent1"/>
            </a:solidFill>
            <a:ln w="12700" cap="flat" cmpd="sng" algn="ctr">
              <a:solidFill>
                <a:schemeClr val="bg1"/>
              </a:solidFill>
              <a:prstDash val="solid"/>
              <a:miter lim="800000"/>
            </a:ln>
            <a:effectLst/>
          </c:spPr>
          <c:txPr>
            <a:bodyPr rot="0" spcFirstLastPara="1" vertOverflow="ellipsis" wrap="square" anchor="t" anchorCtr="1"/>
            <a:lstStyle/>
            <a:p>
              <a:pPr>
                <a:defRPr sz="900" b="0" i="0" u="none" strike="noStrike" kern="1200" cap="all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385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chemeClr val="bg1"/>
                </a:solidFill>
              </a:rPr>
              <a:t>Top</a:t>
            </a:r>
            <a:r>
              <a:rPr lang="en-US" b="0" baseline="0">
                <a:solidFill>
                  <a:schemeClr val="bg1"/>
                </a:solidFill>
              </a:rPr>
              <a:t> 50 vs bOTTOM 50</a:t>
            </a:r>
            <a:endParaRPr lang="en-US" b="0">
              <a:solidFill>
                <a:schemeClr val="bg1"/>
              </a:solidFill>
            </a:endParaRPr>
          </a:p>
        </c:rich>
      </c:tx>
      <c:layout/>
      <c:overlay val="0"/>
      <c:spPr>
        <a:solidFill>
          <a:schemeClr val="accen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Averages!$A$4</c:f>
              <c:strCache>
                <c:ptCount val="1"/>
                <c:pt idx="0">
                  <c:v>Top 50 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Averages!$B$3:$L$3</c15:sqref>
                  </c15:fullRef>
                </c:ext>
              </c:extLst>
              <c:f>(Averages!$B$3:$C$3,Averages!$E$3:$J$3)</c:f>
              <c:strCache>
                <c:ptCount val="8"/>
                <c:pt idx="0">
                  <c:v>Tuition </c:v>
                </c:pt>
                <c:pt idx="1">
                  <c:v>Acceptance Rate</c:v>
                </c:pt>
                <c:pt idx="2">
                  <c:v>Country Rank</c:v>
                </c:pt>
                <c:pt idx="3">
                  <c:v>Education Rank</c:v>
                </c:pt>
                <c:pt idx="4">
                  <c:v>Employability Rank</c:v>
                </c:pt>
                <c:pt idx="5">
                  <c:v>Faculty Rank</c:v>
                </c:pt>
                <c:pt idx="6">
                  <c:v>Research Rank</c:v>
                </c:pt>
                <c:pt idx="7">
                  <c:v>Score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Averages!$B$4:$L$4</c15:sqref>
                  </c15:fullRef>
                </c:ext>
              </c:extLst>
              <c:f>(Averages!$B$4:$C$4,Averages!$E$4:$J$4)</c:f>
              <c:numCache>
                <c:formatCode>0%</c:formatCode>
                <c:ptCount val="8"/>
                <c:pt idx="0" formatCode="&quot;$&quot;#,##0.00">
                  <c:v>116253.82</c:v>
                </c:pt>
                <c:pt idx="1">
                  <c:v>0.22101020408163263</c:v>
                </c:pt>
                <c:pt idx="2" formatCode="General">
                  <c:v>1</c:v>
                </c:pt>
                <c:pt idx="3" formatCode="0">
                  <c:v>76.755102040816325</c:v>
                </c:pt>
                <c:pt idx="4" formatCode="0">
                  <c:v>203.08163265306123</c:v>
                </c:pt>
                <c:pt idx="5" formatCode="0">
                  <c:v>43.734693877551024</c:v>
                </c:pt>
                <c:pt idx="6" formatCode="0">
                  <c:v>43.4</c:v>
                </c:pt>
                <c:pt idx="7" formatCode="0.00">
                  <c:v>86.424000000000021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4-461F-8D18-1BE7CBA84B78}"/>
            </c:ext>
          </c:extLst>
        </c:ser>
        <c:ser>
          <c:idx val="1"/>
          <c:order val="1"/>
          <c:tx>
            <c:strRef>
              <c:f>Averages!$A$5</c:f>
              <c:strCache>
                <c:ptCount val="1"/>
                <c:pt idx="0">
                  <c:v>Bottom 50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Averages!$B$3:$L$3</c15:sqref>
                  </c15:fullRef>
                </c:ext>
              </c:extLst>
              <c:f>(Averages!$B$3:$C$3,Averages!$E$3:$J$3)</c:f>
              <c:strCache>
                <c:ptCount val="8"/>
                <c:pt idx="0">
                  <c:v>Tuition </c:v>
                </c:pt>
                <c:pt idx="1">
                  <c:v>Acceptance Rate</c:v>
                </c:pt>
                <c:pt idx="2">
                  <c:v>Country Rank</c:v>
                </c:pt>
                <c:pt idx="3">
                  <c:v>Education Rank</c:v>
                </c:pt>
                <c:pt idx="4">
                  <c:v>Employability Rank</c:v>
                </c:pt>
                <c:pt idx="5">
                  <c:v>Faculty Rank</c:v>
                </c:pt>
                <c:pt idx="6">
                  <c:v>Research Rank</c:v>
                </c:pt>
                <c:pt idx="7">
                  <c:v>Score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Averages!$B$5:$L$5</c15:sqref>
                  </c15:fullRef>
                </c:ext>
              </c:extLst>
              <c:f>(Averages!$B$5:$C$5,Averages!$E$5:$J$5)</c:f>
              <c:numCache>
                <c:formatCode>0%</c:formatCode>
                <c:ptCount val="8"/>
                <c:pt idx="0" formatCode="&quot;$&quot;#,##0.00">
                  <c:v>73546.182400000005</c:v>
                </c:pt>
                <c:pt idx="1">
                  <c:v>0.34131428571428579</c:v>
                </c:pt>
                <c:pt idx="2" formatCode="General">
                  <c:v>2</c:v>
                </c:pt>
                <c:pt idx="3" formatCode="0">
                  <c:v>193.54347826086956</c:v>
                </c:pt>
                <c:pt idx="4" formatCode="0">
                  <c:v>379.45652173913044</c:v>
                </c:pt>
                <c:pt idx="5" formatCode="0">
                  <c:v>94.642857142857139</c:v>
                </c:pt>
                <c:pt idx="6" formatCode="0">
                  <c:v>104.96</c:v>
                </c:pt>
                <c:pt idx="7" formatCode="0.00">
                  <c:v>83.012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4-461F-8D18-1BE7CBA84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80349839"/>
        <c:axId val="1780344015"/>
      </c:barChart>
      <c:catAx>
        <c:axId val="1780349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344015"/>
        <c:crosses val="autoZero"/>
        <c:auto val="1"/>
        <c:lblAlgn val="ctr"/>
        <c:lblOffset val="100"/>
        <c:noMultiLvlLbl val="0"/>
      </c:catAx>
      <c:valAx>
        <c:axId val="17803440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349839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206374</xdr:colOff>
      <xdr:row>2</xdr:row>
      <xdr:rowOff>127000</xdr:rowOff>
    </xdr:from>
    <xdr:to>
      <xdr:col>10</xdr:col>
      <xdr:colOff>304799</xdr:colOff>
      <xdr:row>19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19050</xdr:rowOff>
    </xdr:from>
    <xdr:to>
      <xdr:col>6</xdr:col>
      <xdr:colOff>520700</xdr:colOff>
      <xdr:row>21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539750</xdr:colOff>
      <xdr:row>5</xdr:row>
      <xdr:rowOff>22224</xdr:rowOff>
    </xdr:from>
    <xdr:to>
      <xdr:col>13</xdr:col>
      <xdr:colOff>25400</xdr:colOff>
      <xdr:row>21</xdr:row>
      <xdr:rowOff>19049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ernice Turnbull" refreshedDate="45234.433524074077" createdVersion="6" refreshedVersion="6" minRefreshableVersion="3" recordCount="100">
  <cacheSource type="worksheet">
    <worksheetSource ref="A1:M101" sheet="CollegeRanking"/>
  </cacheSource>
  <cacheFields count="13">
    <cacheField name="World Rank" numFmtId="0">
      <sharedItems containsSemiMixedTypes="0" containsString="0" containsNumber="1" containsInteger="1" minValue="1" maxValue="100"/>
    </cacheField>
    <cacheField name="Institution" numFmtId="0">
      <sharedItems count="100">
        <s v="Harvard University  "/>
        <s v="Massachusetts Institute of Technology  "/>
        <s v="Stanford University  "/>
        <s v="University of Cambridge "/>
        <s v="University of Oxford  Education"/>
        <s v="Princeton University  "/>
        <s v="University of Chicago  "/>
        <s v="Columbia University  Education"/>
        <s v="University of Pennsylvania  "/>
        <s v="California Institute of Technology  "/>
        <s v="Yale University "/>
        <s v="University of California, Berkeley  "/>
        <s v="University of Tokyo"/>
        <s v="Cornell University"/>
        <s v="University of Michigan, Ann Arbor"/>
        <s v="Johns Hopkins University"/>
        <s v="Northwestern University"/>
        <s v="University of California, Los Angeles"/>
        <s v="PSL University"/>
        <s v="Duke University"/>
        <s v="University College London"/>
        <s v="University of Illinois at Urbana–Champaign"/>
        <s v="New York University"/>
        <s v="University of Toronto"/>
        <s v="University of Washington"/>
        <s v="Kyoto University"/>
        <s v="University of Wisconsin–Madison"/>
        <s v="McGill University"/>
        <s v="ETH Zurich"/>
        <s v="Imperial College London"/>
        <s v="Seoul National University"/>
        <s v="Paris-Saclay University"/>
        <s v="University of Texas at Austin"/>
        <s v="University of California, San Diego"/>
        <s v="University of California, San Francisco"/>
        <s v="University of Copenhagen"/>
        <s v="Karolinska Institute"/>
        <s v="Sorbonne University"/>
        <s v="University of North Carolina at Chapel Hill"/>
        <s v="King's College London"/>
        <s v="Dartmouth College"/>
        <s v="Paris City University"/>
        <s v="Institut Polytechnique de Paris"/>
        <s v="Ludwig Maximilian University of Munich"/>
        <s v="University of Edinburgh"/>
        <s v="Washington University in St. Louis"/>
        <s v="Tsinghua University"/>
        <s v="University of Minnesota "/>
        <s v="University of British Columbia"/>
        <s v="University of Southern California"/>
        <s v="Peking University"/>
        <s v="Vanderbilt University"/>
        <s v="Pennsylvania State University"/>
        <s v="University of California, Davis"/>
        <s v="Rockefeller University"/>
        <s v="Free University of Berlin"/>
        <s v="Rutgers University"/>
        <s v="University of Melbourne"/>
        <s v="Ohio State University"/>
        <s v="University of Manchester"/>
        <s v="Humboldt University of Berlin"/>
        <s v="Texas A&amp;M University"/>
        <s v="University of Chinese Academy of Sciences"/>
        <s v="University of Zurich"/>
        <s v="Purdue University"/>
        <s v="Brown University"/>
        <s v="Hebrew University of Jerusalem"/>
        <s v="Georgia Institute of Technology"/>
        <s v="University of Colorado Boulder"/>
        <s v="Heidelberg University"/>
        <s v="University of Virginia"/>
        <s v="University of Texas Southwestern Medical Center"/>
        <s v="Utrecht University"/>
        <s v="Weizmann Institute of Science"/>
        <s v="University of Pittsburgh"/>
        <s v="University of Maryland, College Park"/>
        <s v="University of Alberta"/>
        <s v="University of Oslo"/>
        <s v="Technical University of Munich"/>
        <s v="Shanghai Jiao Tong University"/>
        <s v="University of California, Irvine"/>
        <s v="University of Birmingham"/>
        <s v="University of Amsterdam"/>
        <s v="University of Florida"/>
        <s v="National University of Singapore"/>
        <s v="Carnegie Mellon University"/>
        <s v="Leiden University"/>
        <s v="Uppsala University"/>
        <s v="University of Gottingen"/>
        <s v="University of California, Santa Barbara"/>
        <s v="University of Rochester"/>
        <s v="Osaka University"/>
        <s v="University of Arizona"/>
        <s v="University of Bristol"/>
        <s v="Erasmus University Rotterdam"/>
        <s v="National Taiwan University"/>
        <s v="Zhejiang University"/>
        <s v="University of Sydney"/>
        <s v="Boston University"/>
        <s v="Keio University"/>
      </sharedItems>
    </cacheField>
    <cacheField name="Country" numFmtId="0">
      <sharedItems count="17">
        <s v="USA"/>
        <s v="United Kingdom"/>
        <s v="Japan"/>
        <s v="France"/>
        <s v="Canada"/>
        <s v="Switzerland"/>
        <s v="South Korea"/>
        <s v="Denmark"/>
        <s v="Sweden"/>
        <s v="Germany"/>
        <s v="China"/>
        <s v="Australia"/>
        <s v="Israel"/>
        <s v="Netherlands"/>
        <s v="Norway"/>
        <s v="Singapore"/>
        <s v="Taiwan"/>
      </sharedItems>
    </cacheField>
    <cacheField name="State" numFmtId="0">
      <sharedItems containsBlank="1"/>
    </cacheField>
    <cacheField name="Tuition " numFmtId="164">
      <sharedItems containsSemiMixedTypes="0" containsString="0" containsNumber="1" minValue="0" maxValue="545976"/>
    </cacheField>
    <cacheField name="Acceptance Rate" numFmtId="9">
      <sharedItems containsMixedTypes="1" containsNumber="1" minValue="0.01" maxValue="1"/>
    </cacheField>
    <cacheField name="Class" numFmtId="0">
      <sharedItems/>
    </cacheField>
    <cacheField name="Country Rank" numFmtId="0">
      <sharedItems containsSemiMixedTypes="0" containsString="0" containsNumber="1" containsInteger="1" minValue="1" maxValue="50"/>
    </cacheField>
    <cacheField name="Education Rank" numFmtId="0">
      <sharedItems containsMixedTypes="1" containsNumber="1" containsInteger="1" minValue="1" maxValue="526"/>
    </cacheField>
    <cacheField name="Employability Rank" numFmtId="0">
      <sharedItems containsMixedTypes="1" containsNumber="1" containsInteger="1" minValue="1" maxValue="1620"/>
    </cacheField>
    <cacheField name="Faculty Rank" numFmtId="0">
      <sharedItems containsMixedTypes="1" containsNumber="1" containsInteger="1" minValue="1" maxValue="267"/>
    </cacheField>
    <cacheField name="Research Rank" numFmtId="0">
      <sharedItems containsSemiMixedTypes="0" containsString="0" containsNumber="1" containsInteger="1" minValue="1" maxValue="436"/>
    </cacheField>
    <cacheField name="Score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n v="1"/>
    <x v="0"/>
    <x v="0"/>
    <s v="Massachusetts"/>
    <n v="334152"/>
    <n v="0.04"/>
    <s v="Private"/>
    <n v="1"/>
    <n v="1"/>
    <n v="1"/>
    <n v="1"/>
    <n v="1"/>
    <n v="100"/>
  </r>
  <r>
    <n v="2"/>
    <x v="1"/>
    <x v="0"/>
    <s v="Massachusetts"/>
    <n v="240624"/>
    <n v="4.1000000000000002E-2"/>
    <s v="Private"/>
    <n v="2"/>
    <n v="4"/>
    <n v="12"/>
    <n v="2"/>
    <n v="7"/>
    <n v="96.7"/>
  </r>
  <r>
    <n v="3"/>
    <x v="2"/>
    <x v="0"/>
    <s v="California"/>
    <n v="328648"/>
    <n v="0.05"/>
    <s v="Private"/>
    <n v="3"/>
    <n v="11"/>
    <n v="4"/>
    <n v="3"/>
    <n v="2"/>
    <n v="95.1"/>
  </r>
  <r>
    <n v="4"/>
    <x v="3"/>
    <x v="1"/>
    <s v="England"/>
    <n v="71364"/>
    <n v="0.21"/>
    <s v="Public"/>
    <n v="1"/>
    <n v="3"/>
    <n v="25"/>
    <n v="4"/>
    <n v="10"/>
    <n v="94.1"/>
  </r>
  <r>
    <n v="5"/>
    <x v="4"/>
    <x v="1"/>
    <s v="England"/>
    <n v="131200"/>
    <n v="0.17499999999999999"/>
    <s v="Public"/>
    <n v="2"/>
    <n v="7"/>
    <n v="27"/>
    <n v="9"/>
    <n v="4"/>
    <n v="93.3"/>
  </r>
  <r>
    <n v="6"/>
    <x v="5"/>
    <x v="0"/>
    <s v="New Jersey"/>
    <n v="238410"/>
    <n v="4.3999999999999997E-2"/>
    <s v="Private"/>
    <n v="4"/>
    <n v="5"/>
    <n v="15"/>
    <n v="6"/>
    <n v="79"/>
    <n v="92.6"/>
  </r>
  <r>
    <n v="7"/>
    <x v="6"/>
    <x v="0"/>
    <s v="Illinois"/>
    <n v="257040"/>
    <n v="6.5000000000000002E-2"/>
    <s v="Private"/>
    <n v="5"/>
    <n v="8"/>
    <n v="16"/>
    <n v="21"/>
    <n v="22"/>
    <n v="92"/>
  </r>
  <r>
    <n v="8"/>
    <x v="7"/>
    <x v="0"/>
    <s v="New York"/>
    <n v="278754"/>
    <n v="0.17"/>
    <s v="Private"/>
    <n v="6"/>
    <n v="12"/>
    <n v="14"/>
    <n v="10"/>
    <n v="14"/>
    <n v="91.5"/>
  </r>
  <r>
    <n v="9"/>
    <x v="8"/>
    <x v="0"/>
    <s v="Pennsylvania"/>
    <n v="58620"/>
    <n v="5.8999999999999997E-2"/>
    <s v="Private"/>
    <n v="7"/>
    <n v="14"/>
    <n v="8"/>
    <n v="41"/>
    <n v="11"/>
    <n v="91.1"/>
  </r>
  <r>
    <n v="10"/>
    <x v="9"/>
    <x v="0"/>
    <s v="California"/>
    <n v="259524"/>
    <n v="3.9E-2"/>
    <s v="Private"/>
    <n v="8"/>
    <n v="2"/>
    <n v="104"/>
    <n v="7"/>
    <n v="80"/>
    <n v="90.7"/>
  </r>
  <r>
    <n v="11"/>
    <x v="10"/>
    <x v="0"/>
    <s v="Connecticut"/>
    <n v="239800"/>
    <n v="4.3499999999999997E-2"/>
    <s v="Private"/>
    <n v="9"/>
    <n v="6"/>
    <n v="36"/>
    <n v="12"/>
    <n v="20"/>
    <n v="0"/>
  </r>
  <r>
    <n v="12"/>
    <x v="11"/>
    <x v="0"/>
    <s v="California"/>
    <n v="184032"/>
    <n v="0.14399999999999999"/>
    <s v="Public"/>
    <n v="10"/>
    <n v="9"/>
    <n v="59"/>
    <n v="5"/>
    <n v="16"/>
    <n v="90.1"/>
  </r>
  <r>
    <n v="13"/>
    <x v="12"/>
    <x v="2"/>
    <s v="Tokyo"/>
    <n v="16800"/>
    <n v="0.34200000000000003"/>
    <s v="Public"/>
    <n v="1"/>
    <n v="37"/>
    <n v="6"/>
    <n v="112"/>
    <n v="29"/>
    <n v="89.8"/>
  </r>
  <r>
    <n v="14"/>
    <x v="13"/>
    <x v="0"/>
    <s v="New York"/>
    <n v="65204"/>
    <n v="8.6999999999999994E-2"/>
    <s v="Private"/>
    <n v="11"/>
    <n v="16"/>
    <n v="28"/>
    <n v="18"/>
    <n v="24"/>
    <n v="89.5"/>
  </r>
  <r>
    <n v="15"/>
    <x v="14"/>
    <x v="0"/>
    <s v="Michigan"/>
    <n v="57273"/>
    <n v="0.20200000000000001"/>
    <s v="Public"/>
    <n v="12"/>
    <n v="29"/>
    <n v="40"/>
    <n v="59"/>
    <n v="6"/>
    <n v="89.2"/>
  </r>
  <r>
    <n v="16"/>
    <x v="15"/>
    <x v="0"/>
    <s v="Maryland"/>
    <n v="80000"/>
    <n v="7.4999999999999997E-2"/>
    <s v="Private"/>
    <n v="13"/>
    <n v="24"/>
    <n v="192"/>
    <n v="23"/>
    <n v="8"/>
    <n v="89"/>
  </r>
  <r>
    <n v="17"/>
    <x v="16"/>
    <x v="0"/>
    <s v="Illinois"/>
    <n v="86330"/>
    <n v="7.0000000000000007E-2"/>
    <s v="Private"/>
    <n v="14"/>
    <n v="138"/>
    <n v="17"/>
    <n v="47"/>
    <n v="31"/>
    <n v="88.8"/>
  </r>
  <r>
    <n v="18"/>
    <x v="17"/>
    <x v="0"/>
    <s v="California"/>
    <n v="54008"/>
    <n v="0.108"/>
    <s v="Public"/>
    <n v="15"/>
    <n v="42"/>
    <n v="63"/>
    <n v="17"/>
    <n v="15"/>
    <n v="88.6"/>
  </r>
  <r>
    <n v="19"/>
    <x v="18"/>
    <x v="3"/>
    <s v="Paris"/>
    <n v="17040"/>
    <s v="Not Listed"/>
    <s v="Public"/>
    <n v="1"/>
    <n v="17"/>
    <n v="30"/>
    <n v="107"/>
    <n v="86"/>
    <n v="88.4"/>
  </r>
  <r>
    <n v="20"/>
    <x v="19"/>
    <x v="0"/>
    <s v="North Carolina"/>
    <n v="79380"/>
    <n v="5.8999999999999997E-2"/>
    <s v="Private"/>
    <n v="16"/>
    <n v="50"/>
    <n v="48"/>
    <n v="19"/>
    <n v="25"/>
    <n v="88.2"/>
  </r>
  <r>
    <n v="21"/>
    <x v="20"/>
    <x v="1"/>
    <s v="London"/>
    <n v="101880"/>
    <n v="0.3"/>
    <s v="Private"/>
    <n v="3"/>
    <n v="33"/>
    <n v="660"/>
    <n v="15"/>
    <n v="5"/>
    <n v="88"/>
  </r>
  <r>
    <n v="22"/>
    <x v="21"/>
    <x v="0"/>
    <s v="Illinois"/>
    <n v="127895"/>
    <n v="0.59699999999999998"/>
    <s v="Public"/>
    <n v="17"/>
    <n v="18"/>
    <n v="139"/>
    <n v="11"/>
    <n v="73"/>
    <n v="87.8"/>
  </r>
  <r>
    <n v="23"/>
    <x v="22"/>
    <x v="0"/>
    <s v="NewYork"/>
    <n v="24328"/>
    <n v="0.13"/>
    <s v="Private"/>
    <n v="18"/>
    <n v="36"/>
    <n v="43"/>
    <n v="43"/>
    <n v="46"/>
    <n v="87.6"/>
  </r>
  <r>
    <n v="24"/>
    <x v="23"/>
    <x v="4"/>
    <s v="Toronto"/>
    <n v="20400"/>
    <n v="0.43"/>
    <s v="Public"/>
    <n v="1"/>
    <n v="207"/>
    <n v="159"/>
    <n v="22"/>
    <n v="3"/>
    <n v="87.5"/>
  </r>
  <r>
    <n v="25"/>
    <x v="24"/>
    <x v="0"/>
    <s v="Washington"/>
    <n v="122560"/>
    <n v="0.53500000000000003"/>
    <s v="Public"/>
    <n v="19"/>
    <n v="71"/>
    <n v="231"/>
    <n v="25"/>
    <n v="9"/>
    <n v="87.3"/>
  </r>
  <r>
    <n v="26"/>
    <x v="25"/>
    <x v="2"/>
    <s v="Kyoto"/>
    <n v="16400"/>
    <n v="0.11"/>
    <s v="Public"/>
    <n v="2"/>
    <n v="38"/>
    <n v="33"/>
    <n v="64"/>
    <n v="75"/>
    <n v="87.2"/>
  </r>
  <r>
    <n v="27"/>
    <x v="26"/>
    <x v="0"/>
    <s v="Wisconsin"/>
    <n v="109672"/>
    <n v="0.49"/>
    <s v="Public"/>
    <n v="20"/>
    <n v="34"/>
    <n v="100"/>
    <n v="30"/>
    <n v="35"/>
    <n v="87"/>
  </r>
  <r>
    <n v="28"/>
    <x v="27"/>
    <x v="4"/>
    <s v="Quebec"/>
    <n v="44000"/>
    <n v="0.46300000000000002"/>
    <s v="Private"/>
    <n v="2"/>
    <n v="25"/>
    <n v="103"/>
    <n v="44"/>
    <n v="45"/>
    <n v="86.9"/>
  </r>
  <r>
    <n v="29"/>
    <x v="28"/>
    <x v="5"/>
    <s v="Zurich"/>
    <n v="6080"/>
    <n v="0.27"/>
    <s v="Private"/>
    <n v="1"/>
    <n v="60"/>
    <n v="89"/>
    <n v="24"/>
    <n v="42"/>
    <n v="86.8"/>
  </r>
  <r>
    <n v="30"/>
    <x v="29"/>
    <x v="1"/>
    <s v="London"/>
    <n v="193752"/>
    <n v="0.14299999999999999"/>
    <s v="Private"/>
    <n v="4"/>
    <n v="69"/>
    <n v="117"/>
    <n v="53"/>
    <n v="17"/>
    <n v="86.6"/>
  </r>
  <r>
    <n v="31"/>
    <x v="30"/>
    <x v="6"/>
    <s v="Seoul"/>
    <n v="48000"/>
    <n v="0.17"/>
    <s v="Public"/>
    <n v="1"/>
    <n v="336"/>
    <n v="22"/>
    <n v="150"/>
    <n v="57"/>
    <n v="86.5"/>
  </r>
  <r>
    <n v="32"/>
    <x v="31"/>
    <x v="3"/>
    <s v="Paris"/>
    <n v="16160"/>
    <n v="0.15"/>
    <s v="Public"/>
    <n v="2"/>
    <n v="172"/>
    <n v="136"/>
    <n v="45"/>
    <n v="13"/>
    <n v="86.4"/>
  </r>
  <r>
    <n v="33"/>
    <x v="32"/>
    <x v="0"/>
    <s v="Texas"/>
    <n v="49018"/>
    <n v="0.28699999999999998"/>
    <s v="Public"/>
    <n v="21"/>
    <n v="86"/>
    <n v="64"/>
    <n v="16"/>
    <n v="58"/>
    <n v="86.3"/>
  </r>
  <r>
    <n v="34"/>
    <x v="33"/>
    <x v="0"/>
    <s v="California"/>
    <n v="58800"/>
    <n v="0.34200000000000003"/>
    <s v="Public"/>
    <n v="22"/>
    <n v="118"/>
    <n v="1620"/>
    <n v="13"/>
    <n v="19"/>
    <n v="86.1"/>
  </r>
  <r>
    <n v="35"/>
    <x v="34"/>
    <x v="0"/>
    <s v="California"/>
    <n v="232888"/>
    <n v="0.14399999999999999"/>
    <s v="Public"/>
    <n v="23"/>
    <s v="-"/>
    <n v="1498"/>
    <n v="14"/>
    <n v="26"/>
    <n v="86"/>
  </r>
  <r>
    <n v="36"/>
    <x v="35"/>
    <x v="7"/>
    <s v="Copenhagen"/>
    <n v="47200"/>
    <n v="0.37"/>
    <s v="Public"/>
    <n v="1"/>
    <n v="93"/>
    <n v="383"/>
    <n v="50"/>
    <n v="27"/>
    <n v="85.9"/>
  </r>
  <r>
    <n v="37"/>
    <x v="36"/>
    <x v="8"/>
    <s v="Solna "/>
    <n v="83520"/>
    <n v="0.34"/>
    <s v="Public"/>
    <n v="1"/>
    <n v="40"/>
    <s v="-"/>
    <n v="32"/>
    <n v="60"/>
    <n v="85.8"/>
  </r>
  <r>
    <n v="38"/>
    <x v="37"/>
    <x v="3"/>
    <s v="Paris"/>
    <n v="45744"/>
    <n v="1"/>
    <s v="Private"/>
    <n v="3"/>
    <n v="89"/>
    <n v="309"/>
    <n v="92"/>
    <n v="18"/>
    <n v="85.7"/>
  </r>
  <r>
    <n v="39"/>
    <x v="38"/>
    <x v="0"/>
    <s v="North Carolina"/>
    <n v="99080"/>
    <n v="0.20399999999999999"/>
    <s v="Public"/>
    <n v="24"/>
    <n v="85"/>
    <n v="96"/>
    <n v="78"/>
    <n v="38"/>
    <n v="85.6"/>
  </r>
  <r>
    <n v="40"/>
    <x v="39"/>
    <x v="1"/>
    <s v="London"/>
    <n v="50980"/>
    <n v="0.28999999999999998"/>
    <s v="Private"/>
    <n v="5"/>
    <n v="58"/>
    <n v="463"/>
    <n v="29"/>
    <n v="54"/>
    <n v="85.5"/>
  </r>
  <r>
    <n v="41"/>
    <x v="40"/>
    <x v="0"/>
    <s v="New Hampshire"/>
    <n v="326004"/>
    <n v="6.2E-2"/>
    <s v="Private"/>
    <n v="25"/>
    <n v="54"/>
    <n v="18"/>
    <n v="102"/>
    <n v="286"/>
    <n v="85.4"/>
  </r>
  <r>
    <n v="42"/>
    <x v="41"/>
    <x v="3"/>
    <s v="Paris"/>
    <n v="47200"/>
    <n v="0.11"/>
    <s v="Private"/>
    <n v="4"/>
    <n v="240"/>
    <n v="956"/>
    <n v="58"/>
    <n v="21"/>
    <n v="85.3"/>
  </r>
  <r>
    <n v="43"/>
    <x v="42"/>
    <x v="3"/>
    <s v="Palaiseau"/>
    <n v="68912"/>
    <n v="0.15"/>
    <s v="Private"/>
    <n v="5"/>
    <n v="100"/>
    <n v="9"/>
    <n v="226"/>
    <n v="344"/>
    <n v="85.2"/>
  </r>
  <r>
    <n v="44"/>
    <x v="43"/>
    <x v="9"/>
    <s v="Munchen"/>
    <n v="50980"/>
    <n v="0.1"/>
    <s v="Private"/>
    <n v="1"/>
    <n v="59"/>
    <n v="249"/>
    <n v="54"/>
    <n v="52"/>
    <n v="85.1"/>
  </r>
  <r>
    <n v="45"/>
    <x v="44"/>
    <x v="1"/>
    <s v="Scotland"/>
    <n v="50980"/>
    <n v="0.1"/>
    <s v="Private"/>
    <n v="6"/>
    <n v="55"/>
    <n v="452"/>
    <n v="61"/>
    <n v="49"/>
    <n v="85"/>
  </r>
  <r>
    <n v="46"/>
    <x v="45"/>
    <x v="0"/>
    <s v="Missouri"/>
    <n v="247000"/>
    <n v="0.13"/>
    <s v="Private"/>
    <n v="26"/>
    <n v="133"/>
    <n v="166"/>
    <n v="36"/>
    <n v="47"/>
    <n v="85"/>
  </r>
  <r>
    <n v="47"/>
    <x v="46"/>
    <x v="10"/>
    <s v="Tsinghua "/>
    <n v="18780"/>
    <n v="0.01"/>
    <s v="Public"/>
    <n v="1"/>
    <n v="521"/>
    <n v="60"/>
    <s v="-"/>
    <n v="23"/>
    <n v="84.9"/>
  </r>
  <r>
    <n v="48"/>
    <x v="47"/>
    <x v="0"/>
    <s v="Minnesota"/>
    <n v="61016"/>
    <n v="0.73"/>
    <s v="Public"/>
    <n v="27"/>
    <n v="75"/>
    <n v="308"/>
    <n v="120"/>
    <n v="30"/>
    <n v="84.8"/>
  </r>
  <r>
    <n v="49"/>
    <x v="48"/>
    <x v="4"/>
    <s v="British Columbia"/>
    <n v="98699"/>
    <n v="0.52400000000000002"/>
    <s v="Public"/>
    <n v="3"/>
    <n v="107"/>
    <n v="593"/>
    <n v="85"/>
    <n v="32"/>
    <n v="84.7"/>
  </r>
  <r>
    <n v="50"/>
    <x v="49"/>
    <x v="0"/>
    <s v="California"/>
    <n v="266560"/>
    <n v="0.125"/>
    <s v="Private"/>
    <n v="28"/>
    <n v="314"/>
    <n v="130"/>
    <n v="28"/>
    <n v="76"/>
    <n v="84.6"/>
  </r>
  <r>
    <n v="51"/>
    <x v="50"/>
    <x v="10"/>
    <s v="Beijing"/>
    <n v="4650"/>
    <n v="0.15"/>
    <s v="Private"/>
    <n v="2"/>
    <n v="366"/>
    <n v="65"/>
    <s v="-"/>
    <n v="28"/>
    <n v="84.5"/>
  </r>
  <r>
    <n v="52"/>
    <x v="51"/>
    <x v="0"/>
    <s v="Tennessee"/>
    <n v="318512"/>
    <n v="7.0999999999999994E-2"/>
    <s v="Private"/>
    <n v="29"/>
    <n v="384"/>
    <n v="86"/>
    <n v="65"/>
    <n v="70"/>
    <n v="84.5"/>
  </r>
  <r>
    <n v="53"/>
    <x v="52"/>
    <x v="0"/>
    <s v="Pennsylvania"/>
    <n v="153080"/>
    <n v="0.51"/>
    <s v="Public"/>
    <n v="30"/>
    <n v="294"/>
    <n v="161"/>
    <n v="57"/>
    <n v="53"/>
    <n v="84.4"/>
  </r>
  <r>
    <n v="54"/>
    <x v="53"/>
    <x v="0"/>
    <s v="California"/>
    <n v="57064"/>
    <n v="0.48799999999999999"/>
    <s v="Public"/>
    <n v="31"/>
    <n v="105"/>
    <n v="546"/>
    <n v="62"/>
    <n v="51"/>
    <n v="84.3"/>
  </r>
  <r>
    <n v="55"/>
    <x v="54"/>
    <x v="0"/>
    <s v="New York"/>
    <n v="99972"/>
    <n v="0.12"/>
    <s v="Private"/>
    <n v="32"/>
    <n v="15"/>
    <s v="-"/>
    <n v="8"/>
    <n v="436"/>
    <n v="84.2"/>
  </r>
  <r>
    <n v="56"/>
    <x v="55"/>
    <x v="9"/>
    <s v="Berlin"/>
    <n v="0"/>
    <n v="0.15"/>
    <s v="Private"/>
    <n v="2"/>
    <n v="72"/>
    <n v="1142"/>
    <n v="37"/>
    <n v="78"/>
    <n v="84.2"/>
  </r>
  <r>
    <n v="57"/>
    <x v="56"/>
    <x v="0"/>
    <s v="New Jersey"/>
    <n v="51600"/>
    <n v="0.68"/>
    <s v="Public"/>
    <n v="33"/>
    <n v="217"/>
    <n v="138"/>
    <n v="27"/>
    <n v="91"/>
    <n v="84.1"/>
  </r>
  <r>
    <n v="58"/>
    <x v="57"/>
    <x v="11"/>
    <s v="Melbourne "/>
    <n v="85077"/>
    <n v="0.75"/>
    <s v="Public"/>
    <n v="1"/>
    <n v="137"/>
    <n v="400"/>
    <n v="124"/>
    <n v="33"/>
    <n v="84"/>
  </r>
  <r>
    <n v="59"/>
    <x v="58"/>
    <x v="0"/>
    <s v="Ohio"/>
    <n v="105964"/>
    <n v="0.53"/>
    <s v="Public"/>
    <n v="34"/>
    <n v="122"/>
    <n v="269"/>
    <n v="129"/>
    <n v="40"/>
    <n v="84"/>
  </r>
  <r>
    <n v="60"/>
    <x v="59"/>
    <x v="1"/>
    <m/>
    <n v="50980"/>
    <n v="0.59299999999999997"/>
    <s v="Public"/>
    <n v="7"/>
    <n v="87"/>
    <n v="391"/>
    <n v="80"/>
    <n v="55"/>
    <n v="83.9"/>
  </r>
  <r>
    <n v="61"/>
    <x v="60"/>
    <x v="9"/>
    <s v="Berlin"/>
    <n v="2596"/>
    <n v="0.18"/>
    <s v="Public"/>
    <n v="3"/>
    <n v="84"/>
    <s v="-"/>
    <n v="49"/>
    <n v="71"/>
    <n v="83.8"/>
  </r>
  <r>
    <n v="62"/>
    <x v="61"/>
    <x v="0"/>
    <s v="Texas"/>
    <n v="126812"/>
    <n v="0.64300000000000002"/>
    <s v="Public"/>
    <n v="35"/>
    <s v="-"/>
    <n v="124"/>
    <n v="70"/>
    <n v="65"/>
    <n v="83.8"/>
  </r>
  <r>
    <n v="63"/>
    <x v="62"/>
    <x v="10"/>
    <s v="Beijing"/>
    <n v="9920"/>
    <s v="Not Listed"/>
    <s v="Public"/>
    <n v="3"/>
    <s v="-"/>
    <n v="1253"/>
    <s v="-"/>
    <n v="12"/>
    <n v="83.7"/>
  </r>
  <r>
    <n v="64"/>
    <x v="63"/>
    <x v="5"/>
    <s v="Zurich"/>
    <n v="7200"/>
    <n v="0.19"/>
    <s v="Public"/>
    <n v="2"/>
    <n v="92"/>
    <n v="588"/>
    <n v="55"/>
    <n v="74"/>
    <n v="83.6"/>
  </r>
  <r>
    <n v="65"/>
    <x v="64"/>
    <x v="0"/>
    <s v="Indiana"/>
    <n v="166456"/>
    <n v="0.68799999999999994"/>
    <s v="Public"/>
    <n v="36"/>
    <n v="91"/>
    <n v="91"/>
    <n v="72"/>
    <n v="110"/>
    <n v="83.6"/>
  </r>
  <r>
    <n v="66"/>
    <x v="65"/>
    <x v="0"/>
    <s v="Rhode Island,"/>
    <n v="60944"/>
    <n v="5.5E-2"/>
    <s v="Private"/>
    <n v="37"/>
    <n v="76"/>
    <n v="56"/>
    <n v="116"/>
    <n v="134"/>
    <n v="83.5"/>
  </r>
  <r>
    <n v="67"/>
    <x v="66"/>
    <x v="12"/>
    <s v=" Jerusalem"/>
    <n v="26000"/>
    <n v="0.34"/>
    <s v="Private"/>
    <n v="1"/>
    <n v="30"/>
    <n v="380"/>
    <n v="35"/>
    <n v="194"/>
    <n v="83.4"/>
  </r>
  <r>
    <n v="68"/>
    <x v="67"/>
    <x v="0"/>
    <s v="Georigia"/>
    <n v="40778"/>
    <n v="0.16"/>
    <s v="Private"/>
    <n v="38"/>
    <n v="307"/>
    <n v="174"/>
    <n v="26"/>
    <n v="115"/>
    <n v="83.4"/>
  </r>
  <r>
    <n v="69"/>
    <x v="68"/>
    <x v="0"/>
    <s v="Colorado"/>
    <n v="175966"/>
    <n v="0.79600000000000004"/>
    <s v="Private"/>
    <n v="39"/>
    <n v="154"/>
    <n v="175"/>
    <n v="48"/>
    <n v="93"/>
    <n v="83.3"/>
  </r>
  <r>
    <n v="70"/>
    <x v="69"/>
    <x v="9"/>
    <s v="Heidelberg"/>
    <n v="32900"/>
    <n v="0.16400000000000001"/>
    <s v="Private"/>
    <n v="4"/>
    <n v="131"/>
    <n v="970"/>
    <n v="82"/>
    <n v="59"/>
    <n v="83.3"/>
  </r>
  <r>
    <n v="71"/>
    <x v="70"/>
    <x v="0"/>
    <s v="Virginia"/>
    <n v="64204"/>
    <n v="0.20699999999999999"/>
    <s v="Private"/>
    <n v="40"/>
    <n v="324"/>
    <n v="35"/>
    <n v="176"/>
    <n v="131"/>
    <n v="83.2"/>
  </r>
  <r>
    <n v="72"/>
    <x v="71"/>
    <x v="0"/>
    <s v="Texas"/>
    <n v="35809"/>
    <n v="0.15"/>
    <s v="Public"/>
    <n v="41"/>
    <n v="39"/>
    <s v="-"/>
    <n v="39"/>
    <n v="165"/>
    <n v="83.1"/>
  </r>
  <r>
    <n v="73"/>
    <x v="72"/>
    <x v="13"/>
    <s v="Utrecht"/>
    <n v="273252"/>
    <n v="0.14000000000000001"/>
    <s v="Public"/>
    <n v="1"/>
    <n v="171"/>
    <n v="456"/>
    <n v="159"/>
    <n v="43"/>
    <n v="83.1"/>
  </r>
  <r>
    <n v="74"/>
    <x v="73"/>
    <x v="12"/>
    <s v="Weizmann"/>
    <n v="14750"/>
    <n v="0.08"/>
    <s v="Private"/>
    <n v="2"/>
    <n v="21"/>
    <s v="-"/>
    <n v="46"/>
    <n v="278"/>
    <n v="83"/>
  </r>
  <r>
    <n v="75"/>
    <x v="74"/>
    <x v="0"/>
    <s v="Pennsylvania"/>
    <n v="58620"/>
    <n v="5.8999999999999997E-2"/>
    <s v="Public"/>
    <n v="42"/>
    <n v="234"/>
    <n v="205"/>
    <n v="262"/>
    <n v="34"/>
    <n v="83"/>
  </r>
  <r>
    <n v="76"/>
    <x v="75"/>
    <x v="0"/>
    <s v="Maryland"/>
    <n v="23010"/>
    <n v="0.52"/>
    <s v="Public"/>
    <n v="43"/>
    <n v="115"/>
    <n v="444"/>
    <n v="143"/>
    <n v="67"/>
    <n v="82.9"/>
  </r>
  <r>
    <n v="77"/>
    <x v="76"/>
    <x v="4"/>
    <s v="Alberta"/>
    <n v="40000"/>
    <n v="0.57999999999999996"/>
    <s v="Public"/>
    <n v="4"/>
    <n v="323"/>
    <n v="467"/>
    <n v="67"/>
    <n v="87"/>
    <n v="82.9"/>
  </r>
  <r>
    <n v="78"/>
    <x v="77"/>
    <x v="14"/>
    <s v="Problemveien"/>
    <n v="70"/>
    <n v="0.1"/>
    <s v="Public"/>
    <n v="1"/>
    <n v="103"/>
    <n v="751"/>
    <n v="77"/>
    <n v="94"/>
    <n v="82.8"/>
  </r>
  <r>
    <n v="79"/>
    <x v="78"/>
    <x v="9"/>
    <s v="Munich"/>
    <n v="918.12"/>
    <n v="0.08"/>
    <s v="Private"/>
    <n v="5"/>
    <n v="79"/>
    <n v="356"/>
    <n v="141"/>
    <n v="84"/>
    <n v="82.8"/>
  </r>
  <r>
    <n v="80"/>
    <x v="79"/>
    <x v="10"/>
    <s v="Shanghai"/>
    <n v="15376"/>
    <n v="0.1"/>
    <s v="Public"/>
    <n v="4"/>
    <s v="-"/>
    <n v="162"/>
    <s v="-"/>
    <n v="36"/>
    <n v="82.7"/>
  </r>
  <r>
    <n v="81"/>
    <x v="80"/>
    <x v="0"/>
    <s v="California "/>
    <n v="13752"/>
    <n v="0.28799999999999998"/>
    <s v="Public"/>
    <n v="44"/>
    <n v="385"/>
    <n v="1255"/>
    <n v="31"/>
    <n v="108"/>
    <n v="82.6"/>
  </r>
  <r>
    <n v="82"/>
    <x v="81"/>
    <x v="1"/>
    <m/>
    <n v="64192"/>
    <n v="0.13539999999999999"/>
    <s v="Public"/>
    <n v="8"/>
    <n v="49"/>
    <n v="464"/>
    <n v="169"/>
    <n v="106"/>
    <n v="82.6"/>
  </r>
  <r>
    <n v="83"/>
    <x v="82"/>
    <x v="13"/>
    <m/>
    <n v="64192"/>
    <n v="0.47"/>
    <s v="Public"/>
    <n v="2"/>
    <n v="241"/>
    <n v="748"/>
    <n v="197"/>
    <n v="44"/>
    <n v="82.5"/>
  </r>
  <r>
    <n v="84"/>
    <x v="83"/>
    <x v="0"/>
    <s v="Florida"/>
    <n v="28658"/>
    <n v="0.30099999999999999"/>
    <s v="Public"/>
    <n v="45"/>
    <n v="322"/>
    <n v="449"/>
    <n v="135"/>
    <n v="61"/>
    <n v="82.5"/>
  </r>
  <r>
    <n v="85"/>
    <x v="84"/>
    <x v="15"/>
    <s v="Singapore"/>
    <n v="38250"/>
    <n v="0.16"/>
    <s v="Public"/>
    <n v="1"/>
    <n v="342"/>
    <n v="172"/>
    <s v="-"/>
    <n v="41"/>
    <n v="82.4"/>
  </r>
  <r>
    <n v="86"/>
    <x v="85"/>
    <x v="0"/>
    <s v="Pennsylvania"/>
    <n v="309896"/>
    <n v="0.14000000000000001"/>
    <s v="Private"/>
    <n v="46"/>
    <n v="57"/>
    <n v="121"/>
    <n v="38"/>
    <n v="220"/>
    <n v="82.4"/>
  </r>
  <r>
    <n v="87"/>
    <x v="86"/>
    <x v="13"/>
    <s v="South Holland"/>
    <n v="545976"/>
    <n v="0.63"/>
    <s v="Public"/>
    <n v="3"/>
    <n v="112"/>
    <n v="1093"/>
    <n v="74"/>
    <n v="105"/>
    <n v="82.3"/>
  </r>
  <r>
    <n v="88"/>
    <x v="87"/>
    <x v="8"/>
    <s v="Uppsala"/>
    <n v="48000"/>
    <n v="0.75"/>
    <s v="Public"/>
    <n v="2"/>
    <n v="140"/>
    <n v="443"/>
    <n v="69"/>
    <n v="104"/>
    <n v="82.3"/>
  </r>
  <r>
    <n v="89"/>
    <x v="88"/>
    <x v="9"/>
    <s v="Gottingen"/>
    <n v="10148"/>
    <n v="0.17"/>
    <s v="Public"/>
    <n v="6"/>
    <n v="43"/>
    <n v="329"/>
    <n v="105"/>
    <n v="155"/>
    <n v="82.2"/>
  </r>
  <r>
    <n v="90"/>
    <x v="89"/>
    <x v="0"/>
    <s v="California"/>
    <n v="59035"/>
    <n v="0.25900000000000001"/>
    <s v="Public"/>
    <n v="47"/>
    <n v="213"/>
    <n v="489"/>
    <n v="20"/>
    <n v="149"/>
    <n v="82.2"/>
  </r>
  <r>
    <n v="91"/>
    <x v="90"/>
    <x v="0"/>
    <s v="New York"/>
    <n v="63150"/>
    <n v="0.41"/>
    <s v="Private"/>
    <n v="48"/>
    <n v="64"/>
    <n v="74"/>
    <n v="130"/>
    <n v="172"/>
    <n v="82.2"/>
  </r>
  <r>
    <n v="92"/>
    <x v="91"/>
    <x v="2"/>
    <s v="Osaka Prefecture"/>
    <n v="19523"/>
    <n v="0.41"/>
    <s v="Public"/>
    <n v="3"/>
    <n v="141"/>
    <n v="69"/>
    <n v="121"/>
    <n v="135"/>
    <n v="82.1"/>
  </r>
  <r>
    <n v="93"/>
    <x v="92"/>
    <x v="0"/>
    <s v="Arizona"/>
    <n v="122744"/>
    <n v="0.86699999999999999"/>
    <s v="Public"/>
    <n v="49"/>
    <n v="490"/>
    <n v="227"/>
    <n v="73"/>
    <n v="107"/>
    <n v="82.1"/>
  </r>
  <r>
    <n v="94"/>
    <x v="93"/>
    <x v="1"/>
    <s v="England"/>
    <n v="12745"/>
    <n v="0.6"/>
    <s v="Private"/>
    <n v="9"/>
    <n v="185"/>
    <n v="386"/>
    <n v="76"/>
    <n v="101"/>
    <n v="82"/>
  </r>
  <r>
    <n v="95"/>
    <x v="94"/>
    <x v="13"/>
    <s v="South Holland"/>
    <n v="56640"/>
    <n v="0.48"/>
    <s v="Public"/>
    <n v="4"/>
    <n v="526"/>
    <n v="72"/>
    <n v="267"/>
    <n v="89"/>
    <n v="82"/>
  </r>
  <r>
    <n v="96"/>
    <x v="95"/>
    <x v="16"/>
    <s v="Taipei "/>
    <n v="1682"/>
    <n v="0.35"/>
    <s v="Public"/>
    <n v="1"/>
    <n v="300"/>
    <n v="42"/>
    <s v="-"/>
    <n v="125"/>
    <n v="81.900000000000006"/>
  </r>
  <r>
    <n v="97"/>
    <x v="96"/>
    <x v="10"/>
    <s v="Zhejiang"/>
    <n v="18652"/>
    <n v="0.3"/>
    <s v="Public"/>
    <n v="5"/>
    <s v="-"/>
    <n v="370"/>
    <s v="-"/>
    <n v="37"/>
    <n v="81.900000000000006"/>
  </r>
  <r>
    <n v="98"/>
    <x v="97"/>
    <x v="11"/>
    <s v="Sydney"/>
    <n v="27992"/>
    <n v="0.3"/>
    <s v="Public"/>
    <n v="2"/>
    <n v="195"/>
    <n v="636"/>
    <s v="-"/>
    <n v="39"/>
    <n v="81.8"/>
  </r>
  <r>
    <n v="99"/>
    <x v="98"/>
    <x v="0"/>
    <s v="Massachusetts"/>
    <n v="63798"/>
    <n v="0.19"/>
    <s v="Private"/>
    <n v="50"/>
    <n v="420"/>
    <n v="118"/>
    <n v="218"/>
    <n v="77"/>
    <n v="81.8"/>
  </r>
  <r>
    <n v="100"/>
    <x v="99"/>
    <x v="2"/>
    <s v="Tokyo"/>
    <n v="5804"/>
    <n v="0.24"/>
    <s v="Private"/>
    <n v="4"/>
    <n v="505"/>
    <n v="13"/>
    <s v="-"/>
    <n v="392"/>
    <n v="81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grandTotalCaption="Total" updatedVersion="6" minRefreshableVersion="3" useAutoFormatting="1" itemPrintTitles="1" createdVersion="6" indent="0" outline="1" outlineData="1" multipleFieldFilters="0" chartFormat="8" rowHeaderCaption="Country">
  <location ref="A3:B21" firstHeaderRow="1" firstDataRow="1" firstDataCol="1"/>
  <pivotFields count="13">
    <pivotField showAll="0"/>
    <pivotField axis="axisRow" showAll="0">
      <items count="101">
        <item sd="0" x="98"/>
        <item sd="0" x="65"/>
        <item sd="0" x="9"/>
        <item sd="0" x="85"/>
        <item sd="0" x="7"/>
        <item sd="0" x="13"/>
        <item sd="0" x="40"/>
        <item sd="0" x="19"/>
        <item sd="0" x="94"/>
        <item sd="0" x="28"/>
        <item sd="0" x="55"/>
        <item sd="0" x="67"/>
        <item sd="0" x="0"/>
        <item sd="0" x="66"/>
        <item sd="0" x="69"/>
        <item sd="0" x="60"/>
        <item sd="0" x="29"/>
        <item sd="0" x="42"/>
        <item sd="0" x="15"/>
        <item sd="0" x="36"/>
        <item sd="0" x="99"/>
        <item sd="0" x="39"/>
        <item sd="0" x="25"/>
        <item sd="0" x="86"/>
        <item sd="0" x="43"/>
        <item sd="0" x="1"/>
        <item sd="0" x="27"/>
        <item sd="0" x="95"/>
        <item sd="0" x="84"/>
        <item sd="0" x="22"/>
        <item sd="0" x="16"/>
        <item sd="0" x="58"/>
        <item sd="0" x="91"/>
        <item sd="0" x="41"/>
        <item sd="0" x="31"/>
        <item sd="0" x="50"/>
        <item sd="0" x="52"/>
        <item sd="0" x="5"/>
        <item sd="0" x="18"/>
        <item sd="0" x="64"/>
        <item sd="0" x="54"/>
        <item sd="0" x="56"/>
        <item sd="0" x="30"/>
        <item sd="0" x="79"/>
        <item sd="0" x="37"/>
        <item sd="0" x="2"/>
        <item sd="0" x="78"/>
        <item sd="0" x="61"/>
        <item sd="0" x="46"/>
        <item sd="0" x="20"/>
        <item sd="0" x="76"/>
        <item sd="0" x="82"/>
        <item sd="0" x="92"/>
        <item sd="0" x="81"/>
        <item sd="0" x="93"/>
        <item sd="0" x="48"/>
        <item sd="0" x="11"/>
        <item sd="0" x="53"/>
        <item sd="0" x="80"/>
        <item sd="0" x="17"/>
        <item sd="0" x="33"/>
        <item sd="0" x="34"/>
        <item sd="0" x="89"/>
        <item sd="0" x="3"/>
        <item sd="0" x="6"/>
        <item sd="0" x="62"/>
        <item sd="0" x="68"/>
        <item sd="0" x="35"/>
        <item sd="0" x="44"/>
        <item sd="0" x="83"/>
        <item sd="0" x="88"/>
        <item sd="0" x="21"/>
        <item sd="0" x="59"/>
        <item sd="0" x="75"/>
        <item sd="0" x="57"/>
        <item sd="0" x="14"/>
        <item sd="0" x="47"/>
        <item sd="0" x="38"/>
        <item sd="0" x="77"/>
        <item sd="0" x="4"/>
        <item sd="0" x="8"/>
        <item sd="0" x="74"/>
        <item sd="0" x="90"/>
        <item sd="0" x="49"/>
        <item sd="0" x="97"/>
        <item sd="0" x="32"/>
        <item sd="0" x="71"/>
        <item sd="0" x="12"/>
        <item sd="0" x="23"/>
        <item sd="0" x="70"/>
        <item sd="0" x="24"/>
        <item sd="0" x="26"/>
        <item sd="0" x="63"/>
        <item sd="0" x="87"/>
        <item sd="0" x="72"/>
        <item sd="0" x="51"/>
        <item sd="0" x="45"/>
        <item sd="0" x="73"/>
        <item sd="0" x="10"/>
        <item sd="0" x="96"/>
        <item t="default" sd="0"/>
      </items>
    </pivotField>
    <pivotField axis="axisRow" showAll="0">
      <items count="18">
        <item sd="0" x="11"/>
        <item sd="0" x="4"/>
        <item sd="0" x="10"/>
        <item sd="0" x="7"/>
        <item sd="0" x="3"/>
        <item sd="0" x="9"/>
        <item sd="0" x="12"/>
        <item sd="0" x="2"/>
        <item sd="0" x="13"/>
        <item sd="0" x="14"/>
        <item sd="0" x="15"/>
        <item sd="0" x="6"/>
        <item sd="0" x="8"/>
        <item sd="0" x="5"/>
        <item sd="0" x="16"/>
        <item sd="0" x="1"/>
        <item sd="0" x="0"/>
        <item t="default" sd="0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Average Tuition per Country" fld="4" subtotal="average" baseField="2" baseItem="0" numFmtId="165"/>
  </dataFields>
  <formats count="15">
    <format dxfId="38">
      <pivotArea field="2" type="button" dataOnly="0" labelOnly="1" outline="0" axis="axisRow" fieldPosition="0"/>
    </format>
    <format dxfId="37">
      <pivotArea dataOnly="0" labelOnly="1" outline="0" axis="axisValues" fieldPosition="0"/>
    </format>
    <format dxfId="36">
      <pivotArea dataOnly="0" labelOnly="1" outline="0" axis="axisValues" fieldPosition="0"/>
    </format>
    <format dxfId="35">
      <pivotArea grandRow="1" outline="0" collapsedLevelsAreSubtotals="1" fieldPosition="0"/>
    </format>
    <format dxfId="34">
      <pivotArea dataOnly="0" labelOnly="1" grandRow="1" outline="0" fieldPosition="0"/>
    </format>
    <format dxfId="33">
      <pivotArea field="2" type="button" dataOnly="0" labelOnly="1" outline="0" axis="axisRow" fieldPosition="0"/>
    </format>
    <format dxfId="32">
      <pivotArea field="2" type="button" dataOnly="0" labelOnly="1" outline="0" axis="axisRow" fieldPosition="0"/>
    </format>
    <format dxfId="31">
      <pivotArea dataOnly="0" labelOnly="1" outline="0" axis="axisValues" fieldPosition="0"/>
    </format>
    <format dxfId="30">
      <pivotArea dataOnly="0" labelOnly="1" outline="0" axis="axisValues" fieldPosition="0"/>
    </format>
    <format dxfId="29">
      <pivotArea dataOnly="0" labelOnly="1" outline="0" axis="axisValues" fieldPosition="0"/>
    </format>
    <format dxfId="28">
      <pivotArea dataOnly="0" labelOnly="1" outline="0" axis="axisValues" fieldPosition="0"/>
    </format>
    <format dxfId="27">
      <pivotArea field="2" type="button" dataOnly="0" labelOnly="1" outline="0" axis="axisRow" fieldPosition="0"/>
    </format>
    <format dxfId="26">
      <pivotArea dataOnly="0" labelOnly="1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4">
      <pivotArea dataOnly="0" labelOnly="1" grandRow="1" outline="0" fieldPosition="0"/>
    </format>
  </formats>
  <chartFormats count="4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M1048576" totalsRowShown="0" headerRowDxfId="4" dataDxfId="5" headerRowBorderDxfId="18" tableBorderDxfId="19" headerRowCellStyle="Note">
  <autoFilter ref="A1:M1048576"/>
  <tableColumns count="13">
    <tableColumn id="1" name="World Rank" dataDxfId="17"/>
    <tableColumn id="2" name="Institution" dataDxfId="16"/>
    <tableColumn id="3" name="Country" dataDxfId="15"/>
    <tableColumn id="4" name="State" dataDxfId="14"/>
    <tableColumn id="5" name="Tuition " dataDxfId="13"/>
    <tableColumn id="6" name="Acceptance Rate" dataDxfId="12"/>
    <tableColumn id="7" name="Class" dataDxfId="3"/>
    <tableColumn id="8" name="Country Rank" dataDxfId="11"/>
    <tableColumn id="9" name="Education Rank" dataDxfId="10"/>
    <tableColumn id="10" name="Employability Rank" dataDxfId="9"/>
    <tableColumn id="11" name="Faculty Rank" dataDxfId="8"/>
    <tableColumn id="12" name="Research Rank" dataDxfId="7"/>
    <tableColumn id="13" name="Score" dataDxfId="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A3:A5" totalsRowShown="0" headerRowDxfId="23" dataDxfId="22" tableBorderDxfId="21" dataCellStyle="Heading 2">
  <autoFilter ref="A3:A5"/>
  <tableColumns count="1">
    <tableColumn id="1" name="Group" dataDxfId="20" dataCellStyle="Heading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B25"/>
  <sheetViews>
    <sheetView topLeftCell="A6" workbookViewId="0">
      <selection activeCell="A2" sqref="A2"/>
    </sheetView>
  </sheetViews>
  <sheetFormatPr defaultRowHeight="14.5" x14ac:dyDescent="0.35"/>
  <cols>
    <col min="1" max="1" width="16.1796875" style="2" customWidth="1"/>
    <col min="2" max="2" width="24.6328125" customWidth="1"/>
    <col min="3" max="3" width="18.6328125" bestFit="1" customWidth="1"/>
  </cols>
  <sheetData>
    <row r="3" spans="1:2" x14ac:dyDescent="0.35">
      <c r="A3" s="6" t="s">
        <v>2</v>
      </c>
      <c r="B3" s="6" t="s">
        <v>203</v>
      </c>
    </row>
    <row r="4" spans="1:2" x14ac:dyDescent="0.35">
      <c r="A4" s="7" t="s">
        <v>119</v>
      </c>
      <c r="B4" s="1">
        <v>56534.5</v>
      </c>
    </row>
    <row r="5" spans="1:2" x14ac:dyDescent="0.35">
      <c r="A5" s="7" t="s">
        <v>56</v>
      </c>
      <c r="B5" s="1">
        <v>50774.75</v>
      </c>
    </row>
    <row r="6" spans="1:2" x14ac:dyDescent="0.35">
      <c r="A6" s="7" t="s">
        <v>101</v>
      </c>
      <c r="B6" s="1">
        <v>13475.6</v>
      </c>
    </row>
    <row r="7" spans="1:2" x14ac:dyDescent="0.35">
      <c r="A7" s="7" t="s">
        <v>80</v>
      </c>
      <c r="B7" s="1">
        <v>47200</v>
      </c>
    </row>
    <row r="8" spans="1:2" x14ac:dyDescent="0.35">
      <c r="A8" s="7" t="s">
        <v>46</v>
      </c>
      <c r="B8" s="1">
        <v>39011.199999999997</v>
      </c>
    </row>
    <row r="9" spans="1:2" x14ac:dyDescent="0.35">
      <c r="A9" s="7" t="s">
        <v>94</v>
      </c>
      <c r="B9" s="1">
        <v>16257.019999999999</v>
      </c>
    </row>
    <row r="10" spans="1:2" x14ac:dyDescent="0.35">
      <c r="A10" s="7" t="s">
        <v>133</v>
      </c>
      <c r="B10" s="1">
        <v>20375</v>
      </c>
    </row>
    <row r="11" spans="1:2" x14ac:dyDescent="0.35">
      <c r="A11" s="7" t="s">
        <v>36</v>
      </c>
      <c r="B11" s="1">
        <v>14631.75</v>
      </c>
    </row>
    <row r="12" spans="1:2" x14ac:dyDescent="0.35">
      <c r="A12" s="7" t="s">
        <v>145</v>
      </c>
      <c r="B12" s="1">
        <v>235015</v>
      </c>
    </row>
    <row r="13" spans="1:2" x14ac:dyDescent="0.35">
      <c r="A13" s="7" t="s">
        <v>154</v>
      </c>
      <c r="B13" s="1">
        <v>70</v>
      </c>
    </row>
    <row r="14" spans="1:2" x14ac:dyDescent="0.35">
      <c r="A14" s="7" t="s">
        <v>167</v>
      </c>
      <c r="B14" s="1">
        <v>38250</v>
      </c>
    </row>
    <row r="15" spans="1:2" x14ac:dyDescent="0.35">
      <c r="A15" s="7" t="s">
        <v>71</v>
      </c>
      <c r="B15" s="1">
        <v>48000</v>
      </c>
    </row>
    <row r="16" spans="1:2" x14ac:dyDescent="0.35">
      <c r="A16" s="7" t="s">
        <v>83</v>
      </c>
      <c r="B16" s="1">
        <v>65760</v>
      </c>
    </row>
    <row r="17" spans="1:2" x14ac:dyDescent="0.35">
      <c r="A17" s="7" t="s">
        <v>67</v>
      </c>
      <c r="B17" s="1">
        <v>6640</v>
      </c>
    </row>
    <row r="18" spans="1:2" x14ac:dyDescent="0.35">
      <c r="A18" s="7" t="s">
        <v>184</v>
      </c>
      <c r="B18" s="1">
        <v>1682</v>
      </c>
    </row>
    <row r="19" spans="1:2" x14ac:dyDescent="0.35">
      <c r="A19" s="7" t="s">
        <v>21</v>
      </c>
      <c r="B19" s="1">
        <v>80897</v>
      </c>
    </row>
    <row r="20" spans="1:2" x14ac:dyDescent="0.35">
      <c r="A20" s="7" t="s">
        <v>14</v>
      </c>
      <c r="B20" s="1">
        <v>135328.88</v>
      </c>
    </row>
    <row r="21" spans="1:2" x14ac:dyDescent="0.35">
      <c r="A21" s="3" t="s">
        <v>193</v>
      </c>
      <c r="B21" s="4">
        <v>94900.001200000013</v>
      </c>
    </row>
    <row r="22" spans="1:2" x14ac:dyDescent="0.35">
      <c r="A22"/>
    </row>
    <row r="23" spans="1:2" x14ac:dyDescent="0.35">
      <c r="A23"/>
    </row>
    <row r="24" spans="1:2" x14ac:dyDescent="0.35">
      <c r="A24"/>
    </row>
    <row r="25" spans="1:2" x14ac:dyDescent="0.35">
      <c r="A25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M120"/>
  <sheetViews>
    <sheetView tabSelected="1" zoomScale="114" zoomScaleNormal="110" workbookViewId="0">
      <pane ySplit="1" topLeftCell="A2" activePane="bottomLeft" state="frozen"/>
      <selection pane="bottomLeft" activeCell="E74" sqref="E74"/>
    </sheetView>
  </sheetViews>
  <sheetFormatPr defaultRowHeight="14.5" x14ac:dyDescent="0.35"/>
  <cols>
    <col min="1" max="1" width="12.08984375" style="34" customWidth="1"/>
    <col min="2" max="2" width="30.90625" style="34" customWidth="1"/>
    <col min="3" max="3" width="9.54296875" style="34" customWidth="1"/>
    <col min="4" max="4" width="13.54296875" style="34" customWidth="1"/>
    <col min="5" max="5" width="13.1796875" style="36" customWidth="1"/>
    <col min="6" max="6" width="10.26953125" style="40" customWidth="1"/>
    <col min="7" max="7" width="6.90625" style="34" customWidth="1"/>
    <col min="8" max="8" width="7.54296875" style="41" customWidth="1"/>
    <col min="9" max="9" width="9.1796875" style="41" customWidth="1"/>
    <col min="10" max="10" width="12.54296875" style="41" customWidth="1"/>
    <col min="11" max="11" width="7.26953125" style="41" customWidth="1"/>
    <col min="12" max="12" width="8.7265625" style="41" customWidth="1"/>
    <col min="13" max="13" width="7" style="34" customWidth="1"/>
    <col min="14" max="16384" width="8.7265625" style="34"/>
  </cols>
  <sheetData>
    <row r="1" spans="1:13" ht="29" x14ac:dyDescent="0.35">
      <c r="A1" s="42" t="s">
        <v>0</v>
      </c>
      <c r="B1" s="43" t="s">
        <v>1</v>
      </c>
      <c r="C1" s="43" t="s">
        <v>2</v>
      </c>
      <c r="D1" s="43" t="s">
        <v>3</v>
      </c>
      <c r="E1" s="44" t="s">
        <v>4</v>
      </c>
      <c r="F1" s="45" t="s">
        <v>5</v>
      </c>
      <c r="G1" s="43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2" t="s">
        <v>12</v>
      </c>
    </row>
    <row r="2" spans="1:13" x14ac:dyDescent="0.35">
      <c r="A2" s="35">
        <v>1</v>
      </c>
      <c r="B2" s="34" t="s">
        <v>13</v>
      </c>
      <c r="C2" s="34" t="s">
        <v>14</v>
      </c>
      <c r="D2" s="34" t="s">
        <v>15</v>
      </c>
      <c r="E2" s="36">
        <v>334152</v>
      </c>
      <c r="F2" s="37">
        <v>0.04</v>
      </c>
      <c r="G2" s="34" t="s">
        <v>16</v>
      </c>
      <c r="H2" s="41">
        <v>1</v>
      </c>
      <c r="I2" s="41">
        <v>1</v>
      </c>
      <c r="J2" s="41">
        <v>1</v>
      </c>
      <c r="K2" s="41">
        <v>1</v>
      </c>
      <c r="L2" s="41">
        <v>1</v>
      </c>
      <c r="M2" s="5">
        <v>100</v>
      </c>
    </row>
    <row r="3" spans="1:13" x14ac:dyDescent="0.35">
      <c r="A3" s="34">
        <v>2</v>
      </c>
      <c r="B3" s="34" t="s">
        <v>17</v>
      </c>
      <c r="C3" s="34" t="s">
        <v>14</v>
      </c>
      <c r="D3" s="34" t="s">
        <v>15</v>
      </c>
      <c r="E3" s="36">
        <v>240624</v>
      </c>
      <c r="F3" s="38">
        <v>4.1000000000000002E-2</v>
      </c>
      <c r="G3" s="34" t="s">
        <v>16</v>
      </c>
      <c r="H3" s="41">
        <v>2</v>
      </c>
      <c r="I3" s="41">
        <v>4</v>
      </c>
      <c r="J3" s="41">
        <v>12</v>
      </c>
      <c r="K3" s="41">
        <v>2</v>
      </c>
      <c r="L3" s="41">
        <v>7</v>
      </c>
      <c r="M3" s="5">
        <v>96.7</v>
      </c>
    </row>
    <row r="4" spans="1:13" x14ac:dyDescent="0.35">
      <c r="A4" s="34">
        <v>3</v>
      </c>
      <c r="B4" s="34" t="s">
        <v>18</v>
      </c>
      <c r="C4" s="34" t="s">
        <v>14</v>
      </c>
      <c r="D4" s="34" t="s">
        <v>19</v>
      </c>
      <c r="E4" s="36">
        <v>328648</v>
      </c>
      <c r="F4" s="38">
        <v>0.05</v>
      </c>
      <c r="G4" s="34" t="s">
        <v>16</v>
      </c>
      <c r="H4" s="41">
        <v>3</v>
      </c>
      <c r="I4" s="41">
        <v>11</v>
      </c>
      <c r="J4" s="41">
        <v>4</v>
      </c>
      <c r="K4" s="41">
        <v>3</v>
      </c>
      <c r="L4" s="41">
        <v>2</v>
      </c>
      <c r="M4" s="5">
        <v>95.1</v>
      </c>
    </row>
    <row r="5" spans="1:13" x14ac:dyDescent="0.35">
      <c r="A5" s="34">
        <v>4</v>
      </c>
      <c r="B5" s="34" t="s">
        <v>20</v>
      </c>
      <c r="C5" s="34" t="s">
        <v>21</v>
      </c>
      <c r="D5" s="34" t="s">
        <v>22</v>
      </c>
      <c r="E5" s="36">
        <v>71364</v>
      </c>
      <c r="F5" s="38">
        <v>0.21</v>
      </c>
      <c r="G5" s="34" t="s">
        <v>23</v>
      </c>
      <c r="H5" s="41">
        <v>1</v>
      </c>
      <c r="I5" s="41">
        <v>3</v>
      </c>
      <c r="J5" s="41">
        <v>25</v>
      </c>
      <c r="K5" s="41">
        <v>4</v>
      </c>
      <c r="L5" s="41">
        <v>10</v>
      </c>
      <c r="M5" s="5">
        <v>94.1</v>
      </c>
    </row>
    <row r="6" spans="1:13" x14ac:dyDescent="0.35">
      <c r="A6" s="34">
        <v>5</v>
      </c>
      <c r="B6" s="34" t="s">
        <v>206</v>
      </c>
      <c r="C6" s="34" t="s">
        <v>21</v>
      </c>
      <c r="D6" s="34" t="s">
        <v>22</v>
      </c>
      <c r="E6" s="36">
        <v>131200</v>
      </c>
      <c r="F6" s="38">
        <v>0.17499999999999999</v>
      </c>
      <c r="G6" s="34" t="s">
        <v>23</v>
      </c>
      <c r="H6" s="41">
        <v>2</v>
      </c>
      <c r="I6" s="41">
        <v>7</v>
      </c>
      <c r="J6" s="41">
        <v>27</v>
      </c>
      <c r="K6" s="41">
        <v>9</v>
      </c>
      <c r="L6" s="41">
        <v>4</v>
      </c>
      <c r="M6" s="5">
        <v>93.3</v>
      </c>
    </row>
    <row r="7" spans="1:13" x14ac:dyDescent="0.35">
      <c r="A7" s="34">
        <v>6</v>
      </c>
      <c r="B7" s="34" t="s">
        <v>24</v>
      </c>
      <c r="C7" s="34" t="s">
        <v>14</v>
      </c>
      <c r="D7" s="34" t="s">
        <v>25</v>
      </c>
      <c r="E7" s="36">
        <v>238410</v>
      </c>
      <c r="F7" s="38">
        <v>4.3999999999999997E-2</v>
      </c>
      <c r="G7" s="34" t="s">
        <v>16</v>
      </c>
      <c r="H7" s="41">
        <v>4</v>
      </c>
      <c r="I7" s="41">
        <v>5</v>
      </c>
      <c r="J7" s="41">
        <v>15</v>
      </c>
      <c r="K7" s="41">
        <v>6</v>
      </c>
      <c r="L7" s="41">
        <v>79</v>
      </c>
      <c r="M7" s="5">
        <v>92.6</v>
      </c>
    </row>
    <row r="8" spans="1:13" x14ac:dyDescent="0.35">
      <c r="A8" s="34">
        <v>7</v>
      </c>
      <c r="B8" s="34" t="s">
        <v>26</v>
      </c>
      <c r="C8" s="34" t="s">
        <v>14</v>
      </c>
      <c r="D8" s="34" t="s">
        <v>27</v>
      </c>
      <c r="E8" s="36">
        <v>257040</v>
      </c>
      <c r="F8" s="38">
        <v>6.5000000000000002E-2</v>
      </c>
      <c r="G8" s="34" t="s">
        <v>16</v>
      </c>
      <c r="H8" s="41">
        <v>5</v>
      </c>
      <c r="I8" s="41">
        <v>8</v>
      </c>
      <c r="J8" s="41">
        <v>16</v>
      </c>
      <c r="K8" s="41">
        <v>21</v>
      </c>
      <c r="L8" s="41">
        <v>22</v>
      </c>
      <c r="M8" s="5">
        <v>92</v>
      </c>
    </row>
    <row r="9" spans="1:13" x14ac:dyDescent="0.35">
      <c r="A9" s="34">
        <v>8</v>
      </c>
      <c r="B9" s="34" t="s">
        <v>207</v>
      </c>
      <c r="C9" s="34" t="s">
        <v>14</v>
      </c>
      <c r="D9" s="34" t="s">
        <v>28</v>
      </c>
      <c r="E9" s="36">
        <v>278754</v>
      </c>
      <c r="F9" s="38">
        <v>0.17</v>
      </c>
      <c r="G9" s="34" t="s">
        <v>16</v>
      </c>
      <c r="H9" s="41">
        <v>6</v>
      </c>
      <c r="I9" s="41">
        <v>12</v>
      </c>
      <c r="J9" s="41">
        <v>14</v>
      </c>
      <c r="K9" s="41">
        <v>10</v>
      </c>
      <c r="L9" s="41">
        <v>14</v>
      </c>
      <c r="M9" s="5">
        <v>91.5</v>
      </c>
    </row>
    <row r="10" spans="1:13" x14ac:dyDescent="0.35">
      <c r="A10" s="34">
        <v>9</v>
      </c>
      <c r="B10" s="34" t="s">
        <v>29</v>
      </c>
      <c r="C10" s="34" t="s">
        <v>14</v>
      </c>
      <c r="D10" s="34" t="s">
        <v>30</v>
      </c>
      <c r="E10" s="36">
        <v>58620</v>
      </c>
      <c r="F10" s="38">
        <v>5.8999999999999997E-2</v>
      </c>
      <c r="G10" s="34" t="s">
        <v>16</v>
      </c>
      <c r="H10" s="41">
        <v>7</v>
      </c>
      <c r="I10" s="41">
        <v>14</v>
      </c>
      <c r="J10" s="41">
        <v>8</v>
      </c>
      <c r="K10" s="41">
        <v>41</v>
      </c>
      <c r="L10" s="41">
        <v>11</v>
      </c>
      <c r="M10" s="5">
        <v>91.1</v>
      </c>
    </row>
    <row r="11" spans="1:13" x14ac:dyDescent="0.35">
      <c r="A11" s="34">
        <v>10</v>
      </c>
      <c r="B11" s="34" t="s">
        <v>31</v>
      </c>
      <c r="C11" s="34" t="s">
        <v>14</v>
      </c>
      <c r="D11" s="34" t="s">
        <v>19</v>
      </c>
      <c r="E11" s="36">
        <v>259524</v>
      </c>
      <c r="F11" s="38">
        <v>3.9E-2</v>
      </c>
      <c r="G11" s="34" t="s">
        <v>16</v>
      </c>
      <c r="H11" s="41">
        <v>8</v>
      </c>
      <c r="I11" s="41">
        <v>2</v>
      </c>
      <c r="J11" s="41">
        <v>104</v>
      </c>
      <c r="K11" s="41">
        <v>7</v>
      </c>
      <c r="L11" s="41">
        <v>80</v>
      </c>
      <c r="M11" s="5">
        <v>90.7</v>
      </c>
    </row>
    <row r="12" spans="1:13" x14ac:dyDescent="0.35">
      <c r="A12" s="34">
        <v>11</v>
      </c>
      <c r="B12" s="34" t="s">
        <v>32</v>
      </c>
      <c r="C12" s="34" t="s">
        <v>14</v>
      </c>
      <c r="D12" s="34" t="s">
        <v>33</v>
      </c>
      <c r="E12" s="36">
        <v>239800</v>
      </c>
      <c r="F12" s="38">
        <v>4.3499999999999997E-2</v>
      </c>
      <c r="G12" s="34" t="s">
        <v>16</v>
      </c>
      <c r="H12" s="41">
        <v>9</v>
      </c>
      <c r="I12" s="41">
        <v>6</v>
      </c>
      <c r="J12" s="41">
        <v>36</v>
      </c>
      <c r="K12" s="41">
        <v>12</v>
      </c>
      <c r="L12" s="41">
        <v>20</v>
      </c>
      <c r="M12" s="5">
        <v>0</v>
      </c>
    </row>
    <row r="13" spans="1:13" x14ac:dyDescent="0.35">
      <c r="A13" s="34">
        <v>12</v>
      </c>
      <c r="B13" s="34" t="s">
        <v>34</v>
      </c>
      <c r="C13" s="34" t="s">
        <v>14</v>
      </c>
      <c r="D13" s="34" t="s">
        <v>19</v>
      </c>
      <c r="E13" s="36">
        <v>184032</v>
      </c>
      <c r="F13" s="38">
        <v>0.14399999999999999</v>
      </c>
      <c r="G13" s="34" t="s">
        <v>23</v>
      </c>
      <c r="H13" s="41">
        <v>10</v>
      </c>
      <c r="I13" s="41">
        <v>9</v>
      </c>
      <c r="J13" s="41">
        <v>59</v>
      </c>
      <c r="K13" s="41">
        <v>5</v>
      </c>
      <c r="L13" s="41">
        <v>16</v>
      </c>
      <c r="M13" s="5">
        <v>90.1</v>
      </c>
    </row>
    <row r="14" spans="1:13" x14ac:dyDescent="0.35">
      <c r="A14" s="34">
        <v>13</v>
      </c>
      <c r="B14" s="34" t="s">
        <v>35</v>
      </c>
      <c r="C14" s="34" t="s">
        <v>36</v>
      </c>
      <c r="D14" s="34" t="s">
        <v>37</v>
      </c>
      <c r="E14" s="36">
        <v>16800</v>
      </c>
      <c r="F14" s="38">
        <v>0.34200000000000003</v>
      </c>
      <c r="G14" s="34" t="s">
        <v>23</v>
      </c>
      <c r="H14" s="41">
        <v>1</v>
      </c>
      <c r="I14" s="41">
        <v>37</v>
      </c>
      <c r="J14" s="41">
        <v>6</v>
      </c>
      <c r="K14" s="41">
        <v>112</v>
      </c>
      <c r="L14" s="41">
        <v>29</v>
      </c>
      <c r="M14" s="5">
        <v>89.8</v>
      </c>
    </row>
    <row r="15" spans="1:13" x14ac:dyDescent="0.35">
      <c r="A15" s="34">
        <v>14</v>
      </c>
      <c r="B15" s="34" t="s">
        <v>38</v>
      </c>
      <c r="C15" s="34" t="s">
        <v>14</v>
      </c>
      <c r="D15" s="34" t="s">
        <v>28</v>
      </c>
      <c r="E15" s="36">
        <v>65204</v>
      </c>
      <c r="F15" s="38">
        <v>8.6999999999999994E-2</v>
      </c>
      <c r="G15" s="34" t="s">
        <v>16</v>
      </c>
      <c r="H15" s="41">
        <v>11</v>
      </c>
      <c r="I15" s="41">
        <v>16</v>
      </c>
      <c r="J15" s="41">
        <v>28</v>
      </c>
      <c r="K15" s="41">
        <v>18</v>
      </c>
      <c r="L15" s="41">
        <v>24</v>
      </c>
      <c r="M15" s="5">
        <v>89.5</v>
      </c>
    </row>
    <row r="16" spans="1:13" x14ac:dyDescent="0.35">
      <c r="A16" s="34">
        <v>15</v>
      </c>
      <c r="B16" s="34" t="s">
        <v>39</v>
      </c>
      <c r="C16" s="34" t="s">
        <v>14</v>
      </c>
      <c r="D16" s="34" t="s">
        <v>40</v>
      </c>
      <c r="E16" s="36">
        <v>57273</v>
      </c>
      <c r="F16" s="38">
        <v>0.20200000000000001</v>
      </c>
      <c r="G16" s="34" t="s">
        <v>23</v>
      </c>
      <c r="H16" s="41">
        <v>12</v>
      </c>
      <c r="I16" s="41">
        <v>29</v>
      </c>
      <c r="J16" s="41">
        <v>40</v>
      </c>
      <c r="K16" s="41">
        <v>59</v>
      </c>
      <c r="L16" s="41">
        <v>6</v>
      </c>
      <c r="M16" s="5">
        <v>89.2</v>
      </c>
    </row>
    <row r="17" spans="1:13" x14ac:dyDescent="0.35">
      <c r="A17" s="34">
        <v>16</v>
      </c>
      <c r="B17" s="34" t="s">
        <v>41</v>
      </c>
      <c r="C17" s="34" t="s">
        <v>14</v>
      </c>
      <c r="D17" s="34" t="s">
        <v>42</v>
      </c>
      <c r="E17" s="36">
        <v>80000</v>
      </c>
      <c r="F17" s="38">
        <v>7.4999999999999997E-2</v>
      </c>
      <c r="G17" s="34" t="s">
        <v>16</v>
      </c>
      <c r="H17" s="41">
        <v>13</v>
      </c>
      <c r="I17" s="41">
        <v>24</v>
      </c>
      <c r="J17" s="41">
        <v>192</v>
      </c>
      <c r="K17" s="41">
        <v>23</v>
      </c>
      <c r="L17" s="41">
        <v>8</v>
      </c>
      <c r="M17" s="5">
        <v>89</v>
      </c>
    </row>
    <row r="18" spans="1:13" x14ac:dyDescent="0.35">
      <c r="A18" s="34">
        <v>17</v>
      </c>
      <c r="B18" s="34" t="s">
        <v>43</v>
      </c>
      <c r="C18" s="34" t="s">
        <v>14</v>
      </c>
      <c r="D18" s="34" t="s">
        <v>27</v>
      </c>
      <c r="E18" s="36">
        <v>86330</v>
      </c>
      <c r="F18" s="38">
        <v>7.0000000000000007E-2</v>
      </c>
      <c r="G18" s="34" t="s">
        <v>16</v>
      </c>
      <c r="H18" s="41">
        <v>14</v>
      </c>
      <c r="I18" s="41">
        <v>138</v>
      </c>
      <c r="J18" s="41">
        <v>17</v>
      </c>
      <c r="K18" s="41">
        <v>47</v>
      </c>
      <c r="L18" s="41">
        <v>31</v>
      </c>
      <c r="M18" s="5">
        <v>88.8</v>
      </c>
    </row>
    <row r="19" spans="1:13" x14ac:dyDescent="0.35">
      <c r="A19" s="34">
        <v>18</v>
      </c>
      <c r="B19" s="34" t="s">
        <v>44</v>
      </c>
      <c r="C19" s="34" t="s">
        <v>14</v>
      </c>
      <c r="D19" s="34" t="s">
        <v>19</v>
      </c>
      <c r="E19" s="36">
        <v>54008</v>
      </c>
      <c r="F19" s="38">
        <v>0.108</v>
      </c>
      <c r="G19" s="34" t="s">
        <v>23</v>
      </c>
      <c r="H19" s="41">
        <v>15</v>
      </c>
      <c r="I19" s="41">
        <v>42</v>
      </c>
      <c r="J19" s="41">
        <v>63</v>
      </c>
      <c r="K19" s="41">
        <v>17</v>
      </c>
      <c r="L19" s="41">
        <v>15</v>
      </c>
      <c r="M19" s="5">
        <v>88.6</v>
      </c>
    </row>
    <row r="20" spans="1:13" x14ac:dyDescent="0.35">
      <c r="A20" s="34">
        <v>19</v>
      </c>
      <c r="B20" s="34" t="s">
        <v>45</v>
      </c>
      <c r="C20" s="34" t="s">
        <v>46</v>
      </c>
      <c r="D20" s="34" t="s">
        <v>47</v>
      </c>
      <c r="E20" s="36">
        <v>17040</v>
      </c>
      <c r="F20" s="38" t="s">
        <v>192</v>
      </c>
      <c r="G20" s="34" t="s">
        <v>23</v>
      </c>
      <c r="H20" s="41">
        <v>1</v>
      </c>
      <c r="I20" s="41">
        <v>17</v>
      </c>
      <c r="J20" s="41">
        <v>30</v>
      </c>
      <c r="K20" s="41">
        <v>107</v>
      </c>
      <c r="L20" s="41">
        <v>86</v>
      </c>
      <c r="M20" s="5">
        <v>88.4</v>
      </c>
    </row>
    <row r="21" spans="1:13" x14ac:dyDescent="0.35">
      <c r="A21" s="34">
        <v>20</v>
      </c>
      <c r="B21" s="34" t="s">
        <v>48</v>
      </c>
      <c r="C21" s="34" t="s">
        <v>14</v>
      </c>
      <c r="D21" s="34" t="s">
        <v>49</v>
      </c>
      <c r="E21" s="36">
        <v>79380</v>
      </c>
      <c r="F21" s="38">
        <v>5.8999999999999997E-2</v>
      </c>
      <c r="G21" s="34" t="s">
        <v>16</v>
      </c>
      <c r="H21" s="41">
        <v>16</v>
      </c>
      <c r="I21" s="41">
        <v>50</v>
      </c>
      <c r="J21" s="41">
        <v>48</v>
      </c>
      <c r="K21" s="41">
        <v>19</v>
      </c>
      <c r="L21" s="41">
        <v>25</v>
      </c>
      <c r="M21" s="5">
        <v>88.2</v>
      </c>
    </row>
    <row r="22" spans="1:13" x14ac:dyDescent="0.35">
      <c r="A22" s="34">
        <v>21</v>
      </c>
      <c r="B22" s="34" t="s">
        <v>50</v>
      </c>
      <c r="C22" s="34" t="s">
        <v>21</v>
      </c>
      <c r="D22" s="34" t="s">
        <v>51</v>
      </c>
      <c r="E22" s="36">
        <v>101880</v>
      </c>
      <c r="F22" s="38">
        <v>0.3</v>
      </c>
      <c r="G22" s="34" t="s">
        <v>16</v>
      </c>
      <c r="H22" s="41">
        <v>3</v>
      </c>
      <c r="I22" s="41">
        <v>33</v>
      </c>
      <c r="J22" s="41">
        <v>660</v>
      </c>
      <c r="K22" s="41">
        <v>15</v>
      </c>
      <c r="L22" s="41">
        <v>5</v>
      </c>
      <c r="M22" s="5">
        <v>88</v>
      </c>
    </row>
    <row r="23" spans="1:13" x14ac:dyDescent="0.35">
      <c r="A23" s="34">
        <v>22</v>
      </c>
      <c r="B23" s="34" t="s">
        <v>52</v>
      </c>
      <c r="C23" s="34" t="s">
        <v>14</v>
      </c>
      <c r="D23" s="34" t="s">
        <v>27</v>
      </c>
      <c r="E23" s="36">
        <v>127895</v>
      </c>
      <c r="F23" s="38">
        <v>0.59699999999999998</v>
      </c>
      <c r="G23" s="34" t="s">
        <v>23</v>
      </c>
      <c r="H23" s="41">
        <v>17</v>
      </c>
      <c r="I23" s="41">
        <v>18</v>
      </c>
      <c r="J23" s="41">
        <v>139</v>
      </c>
      <c r="K23" s="41">
        <v>11</v>
      </c>
      <c r="L23" s="41">
        <v>73</v>
      </c>
      <c r="M23" s="5">
        <v>87.8</v>
      </c>
    </row>
    <row r="24" spans="1:13" x14ac:dyDescent="0.35">
      <c r="A24" s="34">
        <v>23</v>
      </c>
      <c r="B24" s="34" t="s">
        <v>53</v>
      </c>
      <c r="C24" s="34" t="s">
        <v>14</v>
      </c>
      <c r="D24" s="34" t="s">
        <v>54</v>
      </c>
      <c r="E24" s="36">
        <v>24328</v>
      </c>
      <c r="F24" s="38">
        <v>0.13</v>
      </c>
      <c r="G24" s="34" t="s">
        <v>16</v>
      </c>
      <c r="H24" s="41">
        <v>18</v>
      </c>
      <c r="I24" s="41">
        <v>36</v>
      </c>
      <c r="J24" s="41">
        <v>43</v>
      </c>
      <c r="K24" s="41">
        <v>43</v>
      </c>
      <c r="L24" s="41">
        <v>46</v>
      </c>
      <c r="M24" s="5">
        <v>87.6</v>
      </c>
    </row>
    <row r="25" spans="1:13" x14ac:dyDescent="0.35">
      <c r="A25" s="34">
        <v>24</v>
      </c>
      <c r="B25" s="34" t="s">
        <v>55</v>
      </c>
      <c r="C25" s="34" t="s">
        <v>56</v>
      </c>
      <c r="D25" s="34" t="s">
        <v>57</v>
      </c>
      <c r="E25" s="36">
        <v>20400</v>
      </c>
      <c r="F25" s="38">
        <v>0.43</v>
      </c>
      <c r="G25" s="34" t="s">
        <v>23</v>
      </c>
      <c r="H25" s="41">
        <v>1</v>
      </c>
      <c r="I25" s="41">
        <v>207</v>
      </c>
      <c r="J25" s="41">
        <v>159</v>
      </c>
      <c r="K25" s="41">
        <v>22</v>
      </c>
      <c r="L25" s="41">
        <v>3</v>
      </c>
      <c r="M25" s="5">
        <v>87.5</v>
      </c>
    </row>
    <row r="26" spans="1:13" x14ac:dyDescent="0.35">
      <c r="A26" s="34">
        <v>25</v>
      </c>
      <c r="B26" s="34" t="s">
        <v>58</v>
      </c>
      <c r="C26" s="34" t="s">
        <v>14</v>
      </c>
      <c r="D26" s="34" t="s">
        <v>59</v>
      </c>
      <c r="E26" s="36">
        <v>122560</v>
      </c>
      <c r="F26" s="38">
        <v>0.53500000000000003</v>
      </c>
      <c r="G26" s="34" t="s">
        <v>23</v>
      </c>
      <c r="H26" s="41">
        <v>19</v>
      </c>
      <c r="I26" s="41">
        <v>71</v>
      </c>
      <c r="J26" s="41">
        <v>231</v>
      </c>
      <c r="K26" s="41">
        <v>25</v>
      </c>
      <c r="L26" s="41">
        <v>9</v>
      </c>
      <c r="M26" s="5">
        <v>87.3</v>
      </c>
    </row>
    <row r="27" spans="1:13" x14ac:dyDescent="0.35">
      <c r="A27" s="34">
        <v>26</v>
      </c>
      <c r="B27" s="34" t="s">
        <v>60</v>
      </c>
      <c r="C27" s="34" t="s">
        <v>36</v>
      </c>
      <c r="D27" s="34" t="s">
        <v>61</v>
      </c>
      <c r="E27" s="36">
        <v>16400</v>
      </c>
      <c r="F27" s="38">
        <v>0.11</v>
      </c>
      <c r="G27" s="34" t="s">
        <v>23</v>
      </c>
      <c r="H27" s="41">
        <v>2</v>
      </c>
      <c r="I27" s="41">
        <v>38</v>
      </c>
      <c r="J27" s="41">
        <v>33</v>
      </c>
      <c r="K27" s="41">
        <v>64</v>
      </c>
      <c r="L27" s="41">
        <v>75</v>
      </c>
      <c r="M27" s="5">
        <v>87.2</v>
      </c>
    </row>
    <row r="28" spans="1:13" x14ac:dyDescent="0.35">
      <c r="A28" s="34">
        <v>27</v>
      </c>
      <c r="B28" s="34" t="s">
        <v>62</v>
      </c>
      <c r="C28" s="34" t="s">
        <v>14</v>
      </c>
      <c r="D28" s="34" t="s">
        <v>63</v>
      </c>
      <c r="E28" s="36">
        <v>109672</v>
      </c>
      <c r="F28" s="38">
        <v>0.49</v>
      </c>
      <c r="G28" s="34" t="s">
        <v>23</v>
      </c>
      <c r="H28" s="41">
        <v>20</v>
      </c>
      <c r="I28" s="41">
        <v>34</v>
      </c>
      <c r="J28" s="41">
        <v>100</v>
      </c>
      <c r="K28" s="41">
        <v>30</v>
      </c>
      <c r="L28" s="41">
        <v>35</v>
      </c>
      <c r="M28" s="5">
        <v>87</v>
      </c>
    </row>
    <row r="29" spans="1:13" x14ac:dyDescent="0.35">
      <c r="A29" s="34">
        <v>28</v>
      </c>
      <c r="B29" s="34" t="s">
        <v>64</v>
      </c>
      <c r="C29" s="34" t="s">
        <v>56</v>
      </c>
      <c r="D29" s="34" t="s">
        <v>65</v>
      </c>
      <c r="E29" s="36">
        <v>44000</v>
      </c>
      <c r="F29" s="38">
        <v>0.46300000000000002</v>
      </c>
      <c r="G29" s="34" t="s">
        <v>16</v>
      </c>
      <c r="H29" s="41">
        <v>2</v>
      </c>
      <c r="I29" s="41">
        <v>25</v>
      </c>
      <c r="J29" s="41">
        <v>103</v>
      </c>
      <c r="K29" s="41">
        <v>44</v>
      </c>
      <c r="L29" s="41">
        <v>45</v>
      </c>
      <c r="M29" s="5">
        <v>86.9</v>
      </c>
    </row>
    <row r="30" spans="1:13" x14ac:dyDescent="0.35">
      <c r="A30" s="34">
        <v>29</v>
      </c>
      <c r="B30" s="34" t="s">
        <v>66</v>
      </c>
      <c r="C30" s="34" t="s">
        <v>67</v>
      </c>
      <c r="D30" s="34" t="s">
        <v>68</v>
      </c>
      <c r="E30" s="36">
        <v>6080</v>
      </c>
      <c r="F30" s="38">
        <v>0.27</v>
      </c>
      <c r="G30" s="34" t="s">
        <v>16</v>
      </c>
      <c r="H30" s="41">
        <v>1</v>
      </c>
      <c r="I30" s="41">
        <v>60</v>
      </c>
      <c r="J30" s="41">
        <v>89</v>
      </c>
      <c r="K30" s="41">
        <v>24</v>
      </c>
      <c r="L30" s="41">
        <v>42</v>
      </c>
      <c r="M30" s="5">
        <v>86.8</v>
      </c>
    </row>
    <row r="31" spans="1:13" x14ac:dyDescent="0.35">
      <c r="A31" s="34">
        <v>30</v>
      </c>
      <c r="B31" s="34" t="s">
        <v>69</v>
      </c>
      <c r="C31" s="34" t="s">
        <v>21</v>
      </c>
      <c r="D31" s="34" t="s">
        <v>51</v>
      </c>
      <c r="E31" s="36">
        <v>193752</v>
      </c>
      <c r="F31" s="38">
        <v>0.14299999999999999</v>
      </c>
      <c r="G31" s="34" t="s">
        <v>16</v>
      </c>
      <c r="H31" s="41">
        <v>4</v>
      </c>
      <c r="I31" s="41">
        <v>69</v>
      </c>
      <c r="J31" s="41">
        <v>117</v>
      </c>
      <c r="K31" s="41">
        <v>53</v>
      </c>
      <c r="L31" s="41">
        <v>17</v>
      </c>
      <c r="M31" s="5">
        <v>86.6</v>
      </c>
    </row>
    <row r="32" spans="1:13" x14ac:dyDescent="0.35">
      <c r="A32" s="34">
        <v>31</v>
      </c>
      <c r="B32" s="34" t="s">
        <v>70</v>
      </c>
      <c r="C32" s="34" t="s">
        <v>71</v>
      </c>
      <c r="D32" s="34" t="s">
        <v>72</v>
      </c>
      <c r="E32" s="36">
        <v>48000</v>
      </c>
      <c r="F32" s="38">
        <v>0.17</v>
      </c>
      <c r="G32" s="34" t="s">
        <v>23</v>
      </c>
      <c r="H32" s="41">
        <v>1</v>
      </c>
      <c r="I32" s="41">
        <v>336</v>
      </c>
      <c r="J32" s="41">
        <v>22</v>
      </c>
      <c r="K32" s="41">
        <v>150</v>
      </c>
      <c r="L32" s="41">
        <v>57</v>
      </c>
      <c r="M32" s="5">
        <v>86.5</v>
      </c>
    </row>
    <row r="33" spans="1:13" x14ac:dyDescent="0.35">
      <c r="A33" s="34">
        <v>32</v>
      </c>
      <c r="B33" s="34" t="s">
        <v>73</v>
      </c>
      <c r="C33" s="34" t="s">
        <v>46</v>
      </c>
      <c r="D33" s="34" t="s">
        <v>47</v>
      </c>
      <c r="E33" s="36">
        <v>16160</v>
      </c>
      <c r="F33" s="38">
        <v>0.15</v>
      </c>
      <c r="G33" s="34" t="s">
        <v>23</v>
      </c>
      <c r="H33" s="41">
        <v>2</v>
      </c>
      <c r="I33" s="41">
        <v>172</v>
      </c>
      <c r="J33" s="41">
        <v>136</v>
      </c>
      <c r="K33" s="41">
        <v>45</v>
      </c>
      <c r="L33" s="41">
        <v>13</v>
      </c>
      <c r="M33" s="5">
        <v>86.4</v>
      </c>
    </row>
    <row r="34" spans="1:13" x14ac:dyDescent="0.35">
      <c r="A34" s="34">
        <v>33</v>
      </c>
      <c r="B34" s="34" t="s">
        <v>74</v>
      </c>
      <c r="C34" s="34" t="s">
        <v>14</v>
      </c>
      <c r="D34" s="34" t="s">
        <v>75</v>
      </c>
      <c r="E34" s="36">
        <v>49018</v>
      </c>
      <c r="F34" s="38">
        <v>0.28699999999999998</v>
      </c>
      <c r="G34" s="34" t="s">
        <v>23</v>
      </c>
      <c r="H34" s="41">
        <v>21</v>
      </c>
      <c r="I34" s="41">
        <v>86</v>
      </c>
      <c r="J34" s="41">
        <v>64</v>
      </c>
      <c r="K34" s="41">
        <v>16</v>
      </c>
      <c r="L34" s="41">
        <v>58</v>
      </c>
      <c r="M34" s="5">
        <v>86.3</v>
      </c>
    </row>
    <row r="35" spans="1:13" x14ac:dyDescent="0.35">
      <c r="A35" s="34">
        <v>34</v>
      </c>
      <c r="B35" s="34" t="s">
        <v>76</v>
      </c>
      <c r="C35" s="34" t="s">
        <v>14</v>
      </c>
      <c r="D35" s="34" t="s">
        <v>19</v>
      </c>
      <c r="E35" s="36">
        <v>58800</v>
      </c>
      <c r="F35" s="38">
        <v>0.34200000000000003</v>
      </c>
      <c r="G35" s="34" t="s">
        <v>23</v>
      </c>
      <c r="H35" s="41">
        <v>22</v>
      </c>
      <c r="I35" s="41">
        <v>118</v>
      </c>
      <c r="J35" s="41">
        <v>1620</v>
      </c>
      <c r="K35" s="41">
        <v>13</v>
      </c>
      <c r="L35" s="41">
        <v>19</v>
      </c>
      <c r="M35" s="5">
        <v>86.1</v>
      </c>
    </row>
    <row r="36" spans="1:13" x14ac:dyDescent="0.35">
      <c r="A36" s="34">
        <v>35</v>
      </c>
      <c r="B36" s="34" t="s">
        <v>77</v>
      </c>
      <c r="C36" s="34" t="s">
        <v>14</v>
      </c>
      <c r="D36" s="34" t="s">
        <v>19</v>
      </c>
      <c r="E36" s="36">
        <v>232888</v>
      </c>
      <c r="F36" s="38">
        <v>0.14399999999999999</v>
      </c>
      <c r="G36" s="34" t="s">
        <v>23</v>
      </c>
      <c r="H36" s="41">
        <v>23</v>
      </c>
      <c r="I36" s="41" t="s">
        <v>78</v>
      </c>
      <c r="J36" s="41">
        <v>1498</v>
      </c>
      <c r="K36" s="41">
        <v>14</v>
      </c>
      <c r="L36" s="41">
        <v>26</v>
      </c>
      <c r="M36" s="5">
        <v>86</v>
      </c>
    </row>
    <row r="37" spans="1:13" x14ac:dyDescent="0.35">
      <c r="A37" s="34">
        <v>36</v>
      </c>
      <c r="B37" s="34" t="s">
        <v>79</v>
      </c>
      <c r="C37" s="34" t="s">
        <v>80</v>
      </c>
      <c r="D37" s="34" t="s">
        <v>81</v>
      </c>
      <c r="E37" s="36">
        <v>47200</v>
      </c>
      <c r="F37" s="38">
        <v>0.37</v>
      </c>
      <c r="G37" s="34" t="s">
        <v>23</v>
      </c>
      <c r="H37" s="41">
        <v>1</v>
      </c>
      <c r="I37" s="41">
        <v>93</v>
      </c>
      <c r="J37" s="41">
        <v>383</v>
      </c>
      <c r="K37" s="41">
        <v>50</v>
      </c>
      <c r="L37" s="41">
        <v>27</v>
      </c>
      <c r="M37" s="5">
        <v>85.9</v>
      </c>
    </row>
    <row r="38" spans="1:13" x14ac:dyDescent="0.35">
      <c r="A38" s="34">
        <v>37</v>
      </c>
      <c r="B38" s="34" t="s">
        <v>82</v>
      </c>
      <c r="C38" s="34" t="s">
        <v>83</v>
      </c>
      <c r="D38" s="34" t="s">
        <v>84</v>
      </c>
      <c r="E38" s="36">
        <v>83520</v>
      </c>
      <c r="F38" s="38">
        <v>0.34</v>
      </c>
      <c r="G38" s="34" t="s">
        <v>23</v>
      </c>
      <c r="H38" s="41">
        <v>1</v>
      </c>
      <c r="I38" s="41">
        <v>40</v>
      </c>
      <c r="J38" s="41" t="s">
        <v>78</v>
      </c>
      <c r="K38" s="41">
        <v>32</v>
      </c>
      <c r="L38" s="41">
        <v>60</v>
      </c>
      <c r="M38" s="5">
        <v>85.8</v>
      </c>
    </row>
    <row r="39" spans="1:13" x14ac:dyDescent="0.35">
      <c r="A39" s="34">
        <v>38</v>
      </c>
      <c r="B39" s="34" t="s">
        <v>85</v>
      </c>
      <c r="C39" s="34" t="s">
        <v>46</v>
      </c>
      <c r="D39" s="34" t="s">
        <v>47</v>
      </c>
      <c r="E39" s="36">
        <v>45744</v>
      </c>
      <c r="F39" s="38">
        <v>1</v>
      </c>
      <c r="G39" s="34" t="s">
        <v>16</v>
      </c>
      <c r="H39" s="41">
        <v>3</v>
      </c>
      <c r="I39" s="41">
        <v>89</v>
      </c>
      <c r="J39" s="41">
        <v>309</v>
      </c>
      <c r="K39" s="41">
        <v>92</v>
      </c>
      <c r="L39" s="41">
        <v>18</v>
      </c>
      <c r="M39" s="5">
        <v>85.7</v>
      </c>
    </row>
    <row r="40" spans="1:13" x14ac:dyDescent="0.35">
      <c r="A40" s="34">
        <v>39</v>
      </c>
      <c r="B40" s="34" t="s">
        <v>86</v>
      </c>
      <c r="C40" s="34" t="s">
        <v>14</v>
      </c>
      <c r="D40" s="34" t="s">
        <v>49</v>
      </c>
      <c r="E40" s="36">
        <v>99080</v>
      </c>
      <c r="F40" s="38">
        <v>0.20399999999999999</v>
      </c>
      <c r="G40" s="34" t="s">
        <v>23</v>
      </c>
      <c r="H40" s="41">
        <v>24</v>
      </c>
      <c r="I40" s="41">
        <v>85</v>
      </c>
      <c r="J40" s="41">
        <v>96</v>
      </c>
      <c r="K40" s="41">
        <v>78</v>
      </c>
      <c r="L40" s="41">
        <v>38</v>
      </c>
      <c r="M40" s="5">
        <v>85.6</v>
      </c>
    </row>
    <row r="41" spans="1:13" x14ac:dyDescent="0.35">
      <c r="A41" s="34">
        <v>40</v>
      </c>
      <c r="B41" s="34" t="s">
        <v>87</v>
      </c>
      <c r="C41" s="34" t="s">
        <v>21</v>
      </c>
      <c r="D41" s="34" t="s">
        <v>51</v>
      </c>
      <c r="E41" s="36">
        <v>50980</v>
      </c>
      <c r="F41" s="38">
        <v>0.28999999999999998</v>
      </c>
      <c r="G41" s="34" t="s">
        <v>16</v>
      </c>
      <c r="H41" s="41">
        <v>5</v>
      </c>
      <c r="I41" s="41">
        <v>58</v>
      </c>
      <c r="J41" s="41">
        <v>463</v>
      </c>
      <c r="K41" s="41">
        <v>29</v>
      </c>
      <c r="L41" s="41">
        <v>54</v>
      </c>
      <c r="M41" s="5">
        <v>85.5</v>
      </c>
    </row>
    <row r="42" spans="1:13" x14ac:dyDescent="0.35">
      <c r="A42" s="34">
        <v>41</v>
      </c>
      <c r="B42" s="34" t="s">
        <v>88</v>
      </c>
      <c r="C42" s="34" t="s">
        <v>14</v>
      </c>
      <c r="D42" s="34" t="s">
        <v>89</v>
      </c>
      <c r="E42" s="36">
        <v>326004</v>
      </c>
      <c r="F42" s="38">
        <v>6.2E-2</v>
      </c>
      <c r="G42" s="34" t="s">
        <v>16</v>
      </c>
      <c r="H42" s="41">
        <v>25</v>
      </c>
      <c r="I42" s="41">
        <v>54</v>
      </c>
      <c r="J42" s="41">
        <v>18</v>
      </c>
      <c r="K42" s="41">
        <v>102</v>
      </c>
      <c r="L42" s="41">
        <v>286</v>
      </c>
      <c r="M42" s="5">
        <v>85.4</v>
      </c>
    </row>
    <row r="43" spans="1:13" x14ac:dyDescent="0.35">
      <c r="A43" s="34">
        <v>42</v>
      </c>
      <c r="B43" s="34" t="s">
        <v>90</v>
      </c>
      <c r="C43" s="34" t="s">
        <v>46</v>
      </c>
      <c r="D43" s="34" t="s">
        <v>47</v>
      </c>
      <c r="E43" s="36">
        <v>47200</v>
      </c>
      <c r="F43" s="38">
        <v>0.11</v>
      </c>
      <c r="G43" s="34" t="s">
        <v>16</v>
      </c>
      <c r="H43" s="41">
        <v>4</v>
      </c>
      <c r="I43" s="41">
        <v>240</v>
      </c>
      <c r="J43" s="41">
        <v>956</v>
      </c>
      <c r="K43" s="41">
        <v>58</v>
      </c>
      <c r="L43" s="41">
        <v>21</v>
      </c>
      <c r="M43" s="5">
        <v>85.3</v>
      </c>
    </row>
    <row r="44" spans="1:13" x14ac:dyDescent="0.35">
      <c r="A44" s="34">
        <v>43</v>
      </c>
      <c r="B44" s="34" t="s">
        <v>91</v>
      </c>
      <c r="C44" s="34" t="s">
        <v>46</v>
      </c>
      <c r="D44" s="34" t="s">
        <v>92</v>
      </c>
      <c r="E44" s="36">
        <v>68912</v>
      </c>
      <c r="F44" s="38">
        <v>0.15</v>
      </c>
      <c r="G44" s="34" t="s">
        <v>16</v>
      </c>
      <c r="H44" s="41">
        <v>5</v>
      </c>
      <c r="I44" s="41">
        <v>100</v>
      </c>
      <c r="J44" s="41">
        <v>9</v>
      </c>
      <c r="K44" s="41">
        <v>226</v>
      </c>
      <c r="L44" s="41">
        <v>344</v>
      </c>
      <c r="M44" s="5">
        <v>85.2</v>
      </c>
    </row>
    <row r="45" spans="1:13" x14ac:dyDescent="0.35">
      <c r="A45" s="34">
        <v>44</v>
      </c>
      <c r="B45" s="34" t="s">
        <v>93</v>
      </c>
      <c r="C45" s="34" t="s">
        <v>94</v>
      </c>
      <c r="D45" s="34" t="s">
        <v>95</v>
      </c>
      <c r="E45" s="36">
        <v>50980</v>
      </c>
      <c r="F45" s="38">
        <v>0.1</v>
      </c>
      <c r="G45" s="34" t="s">
        <v>16</v>
      </c>
      <c r="H45" s="41">
        <v>1</v>
      </c>
      <c r="I45" s="41">
        <v>59</v>
      </c>
      <c r="J45" s="41">
        <v>249</v>
      </c>
      <c r="K45" s="41">
        <v>54</v>
      </c>
      <c r="L45" s="41">
        <v>52</v>
      </c>
      <c r="M45" s="5">
        <v>85.1</v>
      </c>
    </row>
    <row r="46" spans="1:13" x14ac:dyDescent="0.35">
      <c r="A46" s="34">
        <v>45</v>
      </c>
      <c r="B46" s="34" t="s">
        <v>96</v>
      </c>
      <c r="C46" s="34" t="s">
        <v>21</v>
      </c>
      <c r="D46" s="34" t="s">
        <v>97</v>
      </c>
      <c r="E46" s="36">
        <v>50980</v>
      </c>
      <c r="F46" s="38">
        <v>0.1</v>
      </c>
      <c r="G46" s="34" t="s">
        <v>16</v>
      </c>
      <c r="H46" s="41">
        <v>6</v>
      </c>
      <c r="I46" s="41">
        <v>55</v>
      </c>
      <c r="J46" s="41">
        <v>452</v>
      </c>
      <c r="K46" s="41">
        <v>61</v>
      </c>
      <c r="L46" s="41">
        <v>49</v>
      </c>
      <c r="M46" s="5">
        <v>85</v>
      </c>
    </row>
    <row r="47" spans="1:13" x14ac:dyDescent="0.35">
      <c r="A47" s="34">
        <v>46</v>
      </c>
      <c r="B47" s="34" t="s">
        <v>98</v>
      </c>
      <c r="C47" s="34" t="s">
        <v>14</v>
      </c>
      <c r="D47" s="34" t="s">
        <v>99</v>
      </c>
      <c r="E47" s="36">
        <v>247000</v>
      </c>
      <c r="F47" s="38">
        <v>0.13</v>
      </c>
      <c r="G47" s="34" t="s">
        <v>16</v>
      </c>
      <c r="H47" s="41">
        <v>26</v>
      </c>
      <c r="I47" s="41">
        <v>133</v>
      </c>
      <c r="J47" s="41">
        <v>166</v>
      </c>
      <c r="K47" s="41">
        <v>36</v>
      </c>
      <c r="L47" s="41">
        <v>47</v>
      </c>
      <c r="M47" s="5">
        <v>85</v>
      </c>
    </row>
    <row r="48" spans="1:13" x14ac:dyDescent="0.35">
      <c r="A48" s="34">
        <v>47</v>
      </c>
      <c r="B48" s="34" t="s">
        <v>100</v>
      </c>
      <c r="C48" s="34" t="s">
        <v>101</v>
      </c>
      <c r="D48" s="34" t="s">
        <v>102</v>
      </c>
      <c r="E48" s="36">
        <v>18780</v>
      </c>
      <c r="F48" s="38">
        <v>0.01</v>
      </c>
      <c r="G48" s="34" t="s">
        <v>23</v>
      </c>
      <c r="H48" s="41">
        <v>1</v>
      </c>
      <c r="I48" s="41">
        <v>521</v>
      </c>
      <c r="J48" s="41">
        <v>60</v>
      </c>
      <c r="K48" s="41" t="s">
        <v>78</v>
      </c>
      <c r="L48" s="41">
        <v>23</v>
      </c>
      <c r="M48" s="5">
        <v>84.9</v>
      </c>
    </row>
    <row r="49" spans="1:13" x14ac:dyDescent="0.35">
      <c r="A49" s="34">
        <v>48</v>
      </c>
      <c r="B49" s="34" t="s">
        <v>103</v>
      </c>
      <c r="C49" s="34" t="s">
        <v>14</v>
      </c>
      <c r="D49" s="34" t="s">
        <v>104</v>
      </c>
      <c r="E49" s="36">
        <v>61016</v>
      </c>
      <c r="F49" s="38">
        <v>0.73</v>
      </c>
      <c r="G49" s="34" t="s">
        <v>23</v>
      </c>
      <c r="H49" s="41">
        <v>27</v>
      </c>
      <c r="I49" s="41">
        <v>75</v>
      </c>
      <c r="J49" s="41">
        <v>308</v>
      </c>
      <c r="K49" s="41">
        <v>120</v>
      </c>
      <c r="L49" s="41">
        <v>30</v>
      </c>
      <c r="M49" s="5">
        <v>84.8</v>
      </c>
    </row>
    <row r="50" spans="1:13" x14ac:dyDescent="0.35">
      <c r="A50" s="34">
        <v>49</v>
      </c>
      <c r="B50" s="34" t="s">
        <v>105</v>
      </c>
      <c r="C50" s="34" t="s">
        <v>56</v>
      </c>
      <c r="D50" s="34" t="s">
        <v>106</v>
      </c>
      <c r="E50" s="36">
        <v>98699</v>
      </c>
      <c r="F50" s="38">
        <v>0.52400000000000002</v>
      </c>
      <c r="G50" s="34" t="s">
        <v>23</v>
      </c>
      <c r="H50" s="41">
        <v>3</v>
      </c>
      <c r="I50" s="41">
        <v>107</v>
      </c>
      <c r="J50" s="41">
        <v>593</v>
      </c>
      <c r="K50" s="41">
        <v>85</v>
      </c>
      <c r="L50" s="41">
        <v>32</v>
      </c>
      <c r="M50" s="5">
        <v>84.7</v>
      </c>
    </row>
    <row r="51" spans="1:13" x14ac:dyDescent="0.35">
      <c r="A51" s="34">
        <v>50</v>
      </c>
      <c r="B51" s="34" t="s">
        <v>107</v>
      </c>
      <c r="C51" s="34" t="s">
        <v>14</v>
      </c>
      <c r="D51" s="34" t="s">
        <v>19</v>
      </c>
      <c r="E51" s="36">
        <v>266560</v>
      </c>
      <c r="F51" s="38">
        <v>0.125</v>
      </c>
      <c r="G51" s="34" t="s">
        <v>16</v>
      </c>
      <c r="H51" s="41">
        <v>28</v>
      </c>
      <c r="I51" s="41">
        <v>314</v>
      </c>
      <c r="J51" s="41">
        <v>130</v>
      </c>
      <c r="K51" s="41">
        <v>28</v>
      </c>
      <c r="L51" s="41">
        <v>76</v>
      </c>
      <c r="M51" s="5">
        <v>84.6</v>
      </c>
    </row>
    <row r="52" spans="1:13" x14ac:dyDescent="0.35">
      <c r="A52" s="34">
        <v>51</v>
      </c>
      <c r="B52" s="34" t="s">
        <v>108</v>
      </c>
      <c r="C52" s="34" t="s">
        <v>101</v>
      </c>
      <c r="D52" s="34" t="s">
        <v>109</v>
      </c>
      <c r="E52" s="36">
        <v>4650</v>
      </c>
      <c r="F52" s="38">
        <v>0.15</v>
      </c>
      <c r="G52" s="34" t="s">
        <v>16</v>
      </c>
      <c r="H52" s="41">
        <v>2</v>
      </c>
      <c r="I52" s="41">
        <v>366</v>
      </c>
      <c r="J52" s="41">
        <v>65</v>
      </c>
      <c r="K52" s="41" t="s">
        <v>78</v>
      </c>
      <c r="L52" s="41">
        <v>28</v>
      </c>
      <c r="M52" s="5">
        <v>84.5</v>
      </c>
    </row>
    <row r="53" spans="1:13" x14ac:dyDescent="0.35">
      <c r="A53" s="34">
        <v>52</v>
      </c>
      <c r="B53" s="34" t="s">
        <v>110</v>
      </c>
      <c r="C53" s="34" t="s">
        <v>14</v>
      </c>
      <c r="D53" s="34" t="s">
        <v>111</v>
      </c>
      <c r="E53" s="36">
        <v>318512</v>
      </c>
      <c r="F53" s="38">
        <v>7.0999999999999994E-2</v>
      </c>
      <c r="G53" s="34" t="s">
        <v>16</v>
      </c>
      <c r="H53" s="41">
        <v>29</v>
      </c>
      <c r="I53" s="41">
        <v>384</v>
      </c>
      <c r="J53" s="41">
        <v>86</v>
      </c>
      <c r="K53" s="41">
        <v>65</v>
      </c>
      <c r="L53" s="41">
        <v>70</v>
      </c>
      <c r="M53" s="5">
        <v>84.5</v>
      </c>
    </row>
    <row r="54" spans="1:13" x14ac:dyDescent="0.35">
      <c r="A54" s="34">
        <v>53</v>
      </c>
      <c r="B54" s="34" t="s">
        <v>112</v>
      </c>
      <c r="C54" s="34" t="s">
        <v>14</v>
      </c>
      <c r="D54" s="34" t="s">
        <v>30</v>
      </c>
      <c r="E54" s="36">
        <v>153080</v>
      </c>
      <c r="F54" s="38">
        <v>0.51</v>
      </c>
      <c r="G54" s="34" t="s">
        <v>23</v>
      </c>
      <c r="H54" s="41">
        <v>30</v>
      </c>
      <c r="I54" s="41">
        <v>294</v>
      </c>
      <c r="J54" s="41">
        <v>161</v>
      </c>
      <c r="K54" s="41">
        <v>57</v>
      </c>
      <c r="L54" s="41">
        <v>53</v>
      </c>
      <c r="M54" s="5">
        <v>84.4</v>
      </c>
    </row>
    <row r="55" spans="1:13" x14ac:dyDescent="0.35">
      <c r="A55" s="34">
        <v>54</v>
      </c>
      <c r="B55" s="34" t="s">
        <v>113</v>
      </c>
      <c r="C55" s="34" t="s">
        <v>14</v>
      </c>
      <c r="D55" s="34" t="s">
        <v>19</v>
      </c>
      <c r="E55" s="36">
        <v>57064</v>
      </c>
      <c r="F55" s="38">
        <v>0.48799999999999999</v>
      </c>
      <c r="G55" s="34" t="s">
        <v>23</v>
      </c>
      <c r="H55" s="41">
        <v>31</v>
      </c>
      <c r="I55" s="41">
        <v>105</v>
      </c>
      <c r="J55" s="41">
        <v>546</v>
      </c>
      <c r="K55" s="41">
        <v>62</v>
      </c>
      <c r="L55" s="41">
        <v>51</v>
      </c>
      <c r="M55" s="5">
        <v>84.3</v>
      </c>
    </row>
    <row r="56" spans="1:13" x14ac:dyDescent="0.35">
      <c r="A56" s="34">
        <v>55</v>
      </c>
      <c r="B56" s="34" t="s">
        <v>114</v>
      </c>
      <c r="C56" s="34" t="s">
        <v>14</v>
      </c>
      <c r="D56" s="34" t="s">
        <v>28</v>
      </c>
      <c r="E56" s="36">
        <v>99972</v>
      </c>
      <c r="F56" s="38">
        <v>0.12</v>
      </c>
      <c r="G56" s="34" t="s">
        <v>16</v>
      </c>
      <c r="H56" s="41">
        <v>32</v>
      </c>
      <c r="I56" s="41">
        <v>15</v>
      </c>
      <c r="J56" s="41" t="s">
        <v>78</v>
      </c>
      <c r="K56" s="41">
        <v>8</v>
      </c>
      <c r="L56" s="41">
        <v>436</v>
      </c>
      <c r="M56" s="5">
        <v>84.2</v>
      </c>
    </row>
    <row r="57" spans="1:13" x14ac:dyDescent="0.35">
      <c r="A57" s="34">
        <v>56</v>
      </c>
      <c r="B57" s="34" t="s">
        <v>115</v>
      </c>
      <c r="C57" s="34" t="s">
        <v>94</v>
      </c>
      <c r="D57" s="34" t="s">
        <v>116</v>
      </c>
      <c r="E57" s="36">
        <v>0</v>
      </c>
      <c r="F57" s="38">
        <v>0.15</v>
      </c>
      <c r="G57" s="34" t="s">
        <v>16</v>
      </c>
      <c r="H57" s="41">
        <v>2</v>
      </c>
      <c r="I57" s="41">
        <v>72</v>
      </c>
      <c r="J57" s="41">
        <v>1142</v>
      </c>
      <c r="K57" s="41">
        <v>37</v>
      </c>
      <c r="L57" s="41">
        <v>78</v>
      </c>
      <c r="M57" s="5">
        <v>84.2</v>
      </c>
    </row>
    <row r="58" spans="1:13" x14ac:dyDescent="0.35">
      <c r="A58" s="34">
        <v>57</v>
      </c>
      <c r="B58" s="34" t="s">
        <v>117</v>
      </c>
      <c r="C58" s="34" t="s">
        <v>14</v>
      </c>
      <c r="D58" s="34" t="s">
        <v>25</v>
      </c>
      <c r="E58" s="36">
        <v>51600</v>
      </c>
      <c r="F58" s="38">
        <v>0.68</v>
      </c>
      <c r="G58" s="34" t="s">
        <v>23</v>
      </c>
      <c r="H58" s="41">
        <v>33</v>
      </c>
      <c r="I58" s="41">
        <v>217</v>
      </c>
      <c r="J58" s="41">
        <v>138</v>
      </c>
      <c r="K58" s="41">
        <v>27</v>
      </c>
      <c r="L58" s="41">
        <v>91</v>
      </c>
      <c r="M58" s="5">
        <v>84.1</v>
      </c>
    </row>
    <row r="59" spans="1:13" x14ac:dyDescent="0.35">
      <c r="A59" s="34">
        <v>58</v>
      </c>
      <c r="B59" s="34" t="s">
        <v>118</v>
      </c>
      <c r="C59" s="34" t="s">
        <v>119</v>
      </c>
      <c r="D59" s="34" t="s">
        <v>120</v>
      </c>
      <c r="E59" s="36">
        <v>85077</v>
      </c>
      <c r="F59" s="38">
        <v>0.75</v>
      </c>
      <c r="G59" s="34" t="s">
        <v>23</v>
      </c>
      <c r="H59" s="41">
        <v>1</v>
      </c>
      <c r="I59" s="41">
        <v>137</v>
      </c>
      <c r="J59" s="41">
        <v>400</v>
      </c>
      <c r="K59" s="41">
        <v>124</v>
      </c>
      <c r="L59" s="41">
        <v>33</v>
      </c>
      <c r="M59" s="5">
        <v>84</v>
      </c>
    </row>
    <row r="60" spans="1:13" x14ac:dyDescent="0.35">
      <c r="A60" s="34">
        <v>59</v>
      </c>
      <c r="B60" s="34" t="s">
        <v>121</v>
      </c>
      <c r="C60" s="34" t="s">
        <v>14</v>
      </c>
      <c r="D60" s="34" t="s">
        <v>122</v>
      </c>
      <c r="E60" s="36">
        <v>105964</v>
      </c>
      <c r="F60" s="38">
        <v>0.53</v>
      </c>
      <c r="G60" s="34" t="s">
        <v>23</v>
      </c>
      <c r="H60" s="41">
        <v>34</v>
      </c>
      <c r="I60" s="41">
        <v>122</v>
      </c>
      <c r="J60" s="41">
        <v>269</v>
      </c>
      <c r="K60" s="41">
        <v>129</v>
      </c>
      <c r="L60" s="41">
        <v>40</v>
      </c>
      <c r="M60" s="5">
        <v>84</v>
      </c>
    </row>
    <row r="61" spans="1:13" x14ac:dyDescent="0.35">
      <c r="A61" s="34">
        <v>60</v>
      </c>
      <c r="B61" s="34" t="s">
        <v>123</v>
      </c>
      <c r="C61" s="34" t="s">
        <v>21</v>
      </c>
      <c r="E61" s="36">
        <v>50980</v>
      </c>
      <c r="F61" s="38">
        <v>0.59299999999999997</v>
      </c>
      <c r="G61" s="34" t="s">
        <v>23</v>
      </c>
      <c r="H61" s="41">
        <v>7</v>
      </c>
      <c r="I61" s="41">
        <v>87</v>
      </c>
      <c r="J61" s="41">
        <v>391</v>
      </c>
      <c r="K61" s="41">
        <v>80</v>
      </c>
      <c r="L61" s="41">
        <v>55</v>
      </c>
      <c r="M61" s="5">
        <v>83.9</v>
      </c>
    </row>
    <row r="62" spans="1:13" x14ac:dyDescent="0.35">
      <c r="A62" s="34">
        <v>61</v>
      </c>
      <c r="B62" s="34" t="s">
        <v>124</v>
      </c>
      <c r="C62" s="34" t="s">
        <v>94</v>
      </c>
      <c r="D62" s="34" t="s">
        <v>116</v>
      </c>
      <c r="E62" s="36">
        <v>2596</v>
      </c>
      <c r="F62" s="38">
        <v>0.18</v>
      </c>
      <c r="G62" s="34" t="s">
        <v>23</v>
      </c>
      <c r="H62" s="41">
        <v>3</v>
      </c>
      <c r="I62" s="41">
        <v>84</v>
      </c>
      <c r="J62" s="41" t="s">
        <v>78</v>
      </c>
      <c r="K62" s="41">
        <v>49</v>
      </c>
      <c r="L62" s="41">
        <v>71</v>
      </c>
      <c r="M62" s="5">
        <v>83.8</v>
      </c>
    </row>
    <row r="63" spans="1:13" x14ac:dyDescent="0.35">
      <c r="A63" s="34">
        <v>62</v>
      </c>
      <c r="B63" s="34" t="s">
        <v>125</v>
      </c>
      <c r="C63" s="34" t="s">
        <v>14</v>
      </c>
      <c r="D63" s="34" t="s">
        <v>75</v>
      </c>
      <c r="E63" s="36">
        <v>126812</v>
      </c>
      <c r="F63" s="38">
        <v>0.64300000000000002</v>
      </c>
      <c r="G63" s="34" t="s">
        <v>23</v>
      </c>
      <c r="H63" s="41">
        <v>35</v>
      </c>
      <c r="I63" s="41" t="s">
        <v>78</v>
      </c>
      <c r="J63" s="41">
        <v>124</v>
      </c>
      <c r="K63" s="41">
        <v>70</v>
      </c>
      <c r="L63" s="41">
        <v>65</v>
      </c>
      <c r="M63" s="5">
        <v>83.8</v>
      </c>
    </row>
    <row r="64" spans="1:13" x14ac:dyDescent="0.35">
      <c r="A64" s="34">
        <v>63</v>
      </c>
      <c r="B64" s="34" t="s">
        <v>126</v>
      </c>
      <c r="C64" s="34" t="s">
        <v>101</v>
      </c>
      <c r="D64" s="34" t="s">
        <v>109</v>
      </c>
      <c r="E64" s="36">
        <v>9920</v>
      </c>
      <c r="F64" s="38" t="s">
        <v>192</v>
      </c>
      <c r="G64" s="34" t="s">
        <v>23</v>
      </c>
      <c r="H64" s="41">
        <v>3</v>
      </c>
      <c r="I64" s="41" t="s">
        <v>78</v>
      </c>
      <c r="J64" s="41">
        <v>1253</v>
      </c>
      <c r="K64" s="41" t="s">
        <v>78</v>
      </c>
      <c r="L64" s="41">
        <v>12</v>
      </c>
      <c r="M64" s="5">
        <v>83.7</v>
      </c>
    </row>
    <row r="65" spans="1:13" x14ac:dyDescent="0.35">
      <c r="A65" s="34">
        <v>64</v>
      </c>
      <c r="B65" s="34" t="s">
        <v>127</v>
      </c>
      <c r="C65" s="34" t="s">
        <v>67</v>
      </c>
      <c r="D65" s="34" t="s">
        <v>68</v>
      </c>
      <c r="E65" s="36">
        <v>7200</v>
      </c>
      <c r="F65" s="38">
        <v>0.19</v>
      </c>
      <c r="G65" s="34" t="s">
        <v>23</v>
      </c>
      <c r="H65" s="41">
        <v>2</v>
      </c>
      <c r="I65" s="41">
        <v>92</v>
      </c>
      <c r="J65" s="41">
        <v>588</v>
      </c>
      <c r="K65" s="41">
        <v>55</v>
      </c>
      <c r="L65" s="41">
        <v>74</v>
      </c>
      <c r="M65" s="5">
        <v>83.6</v>
      </c>
    </row>
    <row r="66" spans="1:13" x14ac:dyDescent="0.35">
      <c r="A66" s="34">
        <v>65</v>
      </c>
      <c r="B66" s="34" t="s">
        <v>128</v>
      </c>
      <c r="C66" s="34" t="s">
        <v>14</v>
      </c>
      <c r="D66" s="34" t="s">
        <v>129</v>
      </c>
      <c r="E66" s="36">
        <v>166456</v>
      </c>
      <c r="F66" s="38">
        <v>0.68799999999999994</v>
      </c>
      <c r="G66" s="34" t="s">
        <v>23</v>
      </c>
      <c r="H66" s="41">
        <v>36</v>
      </c>
      <c r="I66" s="41">
        <v>91</v>
      </c>
      <c r="J66" s="41">
        <v>91</v>
      </c>
      <c r="K66" s="41">
        <v>72</v>
      </c>
      <c r="L66" s="41">
        <v>110</v>
      </c>
      <c r="M66" s="5">
        <v>83.6</v>
      </c>
    </row>
    <row r="67" spans="1:13" x14ac:dyDescent="0.35">
      <c r="A67" s="34">
        <v>66</v>
      </c>
      <c r="B67" s="34" t="s">
        <v>130</v>
      </c>
      <c r="C67" s="34" t="s">
        <v>14</v>
      </c>
      <c r="D67" s="34" t="s">
        <v>131</v>
      </c>
      <c r="E67" s="36">
        <v>60944</v>
      </c>
      <c r="F67" s="38">
        <v>5.5E-2</v>
      </c>
      <c r="G67" s="34" t="s">
        <v>16</v>
      </c>
      <c r="H67" s="41">
        <v>37</v>
      </c>
      <c r="I67" s="41">
        <v>76</v>
      </c>
      <c r="J67" s="41">
        <v>56</v>
      </c>
      <c r="K67" s="41">
        <v>116</v>
      </c>
      <c r="L67" s="41">
        <v>134</v>
      </c>
      <c r="M67" s="5">
        <v>83.5</v>
      </c>
    </row>
    <row r="68" spans="1:13" x14ac:dyDescent="0.35">
      <c r="A68" s="34">
        <v>67</v>
      </c>
      <c r="B68" s="34" t="s">
        <v>132</v>
      </c>
      <c r="C68" s="34" t="s">
        <v>133</v>
      </c>
      <c r="D68" s="34" t="s">
        <v>134</v>
      </c>
      <c r="E68" s="36">
        <v>26000</v>
      </c>
      <c r="F68" s="38">
        <v>0.34</v>
      </c>
      <c r="G68" s="34" t="s">
        <v>16</v>
      </c>
      <c r="H68" s="41">
        <v>1</v>
      </c>
      <c r="I68" s="41">
        <v>30</v>
      </c>
      <c r="J68" s="41">
        <v>380</v>
      </c>
      <c r="K68" s="41">
        <v>35</v>
      </c>
      <c r="L68" s="41">
        <v>194</v>
      </c>
      <c r="M68" s="5">
        <v>83.4</v>
      </c>
    </row>
    <row r="69" spans="1:13" x14ac:dyDescent="0.35">
      <c r="A69" s="34">
        <v>68</v>
      </c>
      <c r="B69" s="34" t="s">
        <v>135</v>
      </c>
      <c r="C69" s="34" t="s">
        <v>14</v>
      </c>
      <c r="D69" s="34" t="s">
        <v>136</v>
      </c>
      <c r="E69" s="36">
        <v>40778</v>
      </c>
      <c r="F69" s="38">
        <v>0.16</v>
      </c>
      <c r="G69" s="34" t="s">
        <v>16</v>
      </c>
      <c r="H69" s="41">
        <v>38</v>
      </c>
      <c r="I69" s="41">
        <v>307</v>
      </c>
      <c r="J69" s="41">
        <v>174</v>
      </c>
      <c r="K69" s="41">
        <v>26</v>
      </c>
      <c r="L69" s="41">
        <v>115</v>
      </c>
      <c r="M69" s="5">
        <v>83.4</v>
      </c>
    </row>
    <row r="70" spans="1:13" x14ac:dyDescent="0.35">
      <c r="A70" s="34">
        <v>69</v>
      </c>
      <c r="B70" s="34" t="s">
        <v>137</v>
      </c>
      <c r="C70" s="34" t="s">
        <v>14</v>
      </c>
      <c r="D70" s="34" t="s">
        <v>138</v>
      </c>
      <c r="E70" s="36">
        <v>175966</v>
      </c>
      <c r="F70" s="38">
        <v>0.79600000000000004</v>
      </c>
      <c r="G70" s="34" t="s">
        <v>16</v>
      </c>
      <c r="H70" s="41">
        <v>39</v>
      </c>
      <c r="I70" s="41">
        <v>154</v>
      </c>
      <c r="J70" s="41">
        <v>175</v>
      </c>
      <c r="K70" s="41">
        <v>48</v>
      </c>
      <c r="L70" s="41">
        <v>93</v>
      </c>
      <c r="M70" s="5">
        <v>83.3</v>
      </c>
    </row>
    <row r="71" spans="1:13" x14ac:dyDescent="0.35">
      <c r="A71" s="34">
        <v>70</v>
      </c>
      <c r="B71" s="34" t="s">
        <v>139</v>
      </c>
      <c r="C71" s="34" t="s">
        <v>94</v>
      </c>
      <c r="D71" s="34" t="s">
        <v>140</v>
      </c>
      <c r="E71" s="36">
        <v>32900</v>
      </c>
      <c r="F71" s="38">
        <v>0.16400000000000001</v>
      </c>
      <c r="G71" s="34" t="s">
        <v>16</v>
      </c>
      <c r="H71" s="41">
        <v>4</v>
      </c>
      <c r="I71" s="41">
        <v>131</v>
      </c>
      <c r="J71" s="41">
        <v>970</v>
      </c>
      <c r="K71" s="41">
        <v>82</v>
      </c>
      <c r="L71" s="41">
        <v>59</v>
      </c>
      <c r="M71" s="5">
        <v>83.3</v>
      </c>
    </row>
    <row r="72" spans="1:13" x14ac:dyDescent="0.35">
      <c r="A72" s="34">
        <v>71</v>
      </c>
      <c r="B72" s="34" t="s">
        <v>141</v>
      </c>
      <c r="C72" s="34" t="s">
        <v>14</v>
      </c>
      <c r="D72" s="34" t="s">
        <v>142</v>
      </c>
      <c r="E72" s="36">
        <v>64204</v>
      </c>
      <c r="F72" s="38">
        <v>0.20699999999999999</v>
      </c>
      <c r="G72" s="34" t="s">
        <v>16</v>
      </c>
      <c r="H72" s="41">
        <v>40</v>
      </c>
      <c r="I72" s="41">
        <v>324</v>
      </c>
      <c r="J72" s="41">
        <v>35</v>
      </c>
      <c r="K72" s="41">
        <v>176</v>
      </c>
      <c r="L72" s="41">
        <v>131</v>
      </c>
      <c r="M72" s="5">
        <v>83.2</v>
      </c>
    </row>
    <row r="73" spans="1:13" x14ac:dyDescent="0.35">
      <c r="A73" s="34">
        <v>72</v>
      </c>
      <c r="B73" s="34" t="s">
        <v>143</v>
      </c>
      <c r="C73" s="34" t="s">
        <v>14</v>
      </c>
      <c r="D73" s="34" t="s">
        <v>75</v>
      </c>
      <c r="E73" s="36">
        <v>35809</v>
      </c>
      <c r="F73" s="38">
        <v>0.15</v>
      </c>
      <c r="G73" s="34" t="s">
        <v>23</v>
      </c>
      <c r="H73" s="41">
        <v>41</v>
      </c>
      <c r="I73" s="41">
        <v>39</v>
      </c>
      <c r="J73" s="41" t="s">
        <v>78</v>
      </c>
      <c r="K73" s="41">
        <v>39</v>
      </c>
      <c r="L73" s="41">
        <v>165</v>
      </c>
      <c r="M73" s="5">
        <v>83.1</v>
      </c>
    </row>
    <row r="74" spans="1:13" x14ac:dyDescent="0.35">
      <c r="A74" s="34">
        <v>73</v>
      </c>
      <c r="B74" s="34" t="s">
        <v>144</v>
      </c>
      <c r="C74" s="34" t="s">
        <v>145</v>
      </c>
      <c r="D74" s="34" t="s">
        <v>146</v>
      </c>
      <c r="E74" s="36">
        <v>273252</v>
      </c>
      <c r="F74" s="38">
        <v>0.14000000000000001</v>
      </c>
      <c r="G74" s="34" t="s">
        <v>23</v>
      </c>
      <c r="H74" s="41">
        <v>1</v>
      </c>
      <c r="I74" s="41">
        <v>171</v>
      </c>
      <c r="J74" s="41">
        <v>456</v>
      </c>
      <c r="K74" s="41">
        <v>159</v>
      </c>
      <c r="L74" s="41">
        <v>43</v>
      </c>
      <c r="M74" s="5">
        <v>83.1</v>
      </c>
    </row>
    <row r="75" spans="1:13" x14ac:dyDescent="0.35">
      <c r="A75" s="34">
        <v>74</v>
      </c>
      <c r="B75" s="34" t="s">
        <v>147</v>
      </c>
      <c r="C75" s="34" t="s">
        <v>133</v>
      </c>
      <c r="D75" s="34" t="s">
        <v>148</v>
      </c>
      <c r="E75" s="36">
        <v>14750</v>
      </c>
      <c r="F75" s="38">
        <v>0.08</v>
      </c>
      <c r="G75" s="34" t="s">
        <v>16</v>
      </c>
      <c r="H75" s="41">
        <v>2</v>
      </c>
      <c r="I75" s="41">
        <v>21</v>
      </c>
      <c r="J75" s="41" t="s">
        <v>78</v>
      </c>
      <c r="K75" s="41">
        <v>46</v>
      </c>
      <c r="L75" s="41">
        <v>278</v>
      </c>
      <c r="M75" s="5">
        <v>83</v>
      </c>
    </row>
    <row r="76" spans="1:13" x14ac:dyDescent="0.35">
      <c r="A76" s="34">
        <v>75</v>
      </c>
      <c r="B76" s="34" t="s">
        <v>149</v>
      </c>
      <c r="C76" s="34" t="s">
        <v>14</v>
      </c>
      <c r="D76" s="34" t="s">
        <v>30</v>
      </c>
      <c r="E76" s="36">
        <v>58620</v>
      </c>
      <c r="F76" s="38">
        <v>5.8999999999999997E-2</v>
      </c>
      <c r="G76" s="34" t="s">
        <v>23</v>
      </c>
      <c r="H76" s="41">
        <v>42</v>
      </c>
      <c r="I76" s="41">
        <v>234</v>
      </c>
      <c r="J76" s="41">
        <v>205</v>
      </c>
      <c r="K76" s="41">
        <v>262</v>
      </c>
      <c r="L76" s="41">
        <v>34</v>
      </c>
      <c r="M76" s="5">
        <v>83</v>
      </c>
    </row>
    <row r="77" spans="1:13" x14ac:dyDescent="0.35">
      <c r="A77" s="34">
        <v>76</v>
      </c>
      <c r="B77" s="34" t="s">
        <v>150</v>
      </c>
      <c r="C77" s="34" t="s">
        <v>14</v>
      </c>
      <c r="D77" s="34" t="s">
        <v>42</v>
      </c>
      <c r="E77" s="36">
        <v>23010</v>
      </c>
      <c r="F77" s="38">
        <v>0.52</v>
      </c>
      <c r="G77" s="34" t="s">
        <v>23</v>
      </c>
      <c r="H77" s="41">
        <v>43</v>
      </c>
      <c r="I77" s="41">
        <v>115</v>
      </c>
      <c r="J77" s="41">
        <v>444</v>
      </c>
      <c r="K77" s="41">
        <v>143</v>
      </c>
      <c r="L77" s="41">
        <v>67</v>
      </c>
      <c r="M77" s="5">
        <v>82.9</v>
      </c>
    </row>
    <row r="78" spans="1:13" x14ac:dyDescent="0.35">
      <c r="A78" s="34">
        <v>77</v>
      </c>
      <c r="B78" s="34" t="s">
        <v>151</v>
      </c>
      <c r="C78" s="34" t="s">
        <v>56</v>
      </c>
      <c r="D78" s="34" t="s">
        <v>152</v>
      </c>
      <c r="E78" s="36">
        <v>40000</v>
      </c>
      <c r="F78" s="38">
        <v>0.57999999999999996</v>
      </c>
      <c r="G78" s="34" t="s">
        <v>23</v>
      </c>
      <c r="H78" s="41">
        <v>4</v>
      </c>
      <c r="I78" s="41">
        <v>323</v>
      </c>
      <c r="J78" s="41">
        <v>467</v>
      </c>
      <c r="K78" s="41">
        <v>67</v>
      </c>
      <c r="L78" s="41">
        <v>87</v>
      </c>
      <c r="M78" s="5">
        <v>82.9</v>
      </c>
    </row>
    <row r="79" spans="1:13" x14ac:dyDescent="0.35">
      <c r="A79" s="34">
        <v>78</v>
      </c>
      <c r="B79" s="34" t="s">
        <v>153</v>
      </c>
      <c r="C79" s="34" t="s">
        <v>154</v>
      </c>
      <c r="D79" s="34" t="s">
        <v>155</v>
      </c>
      <c r="E79" s="36">
        <v>70</v>
      </c>
      <c r="F79" s="38">
        <v>0.1</v>
      </c>
      <c r="G79" s="34" t="s">
        <v>23</v>
      </c>
      <c r="H79" s="41">
        <v>1</v>
      </c>
      <c r="I79" s="41">
        <v>103</v>
      </c>
      <c r="J79" s="41">
        <v>751</v>
      </c>
      <c r="K79" s="41">
        <v>77</v>
      </c>
      <c r="L79" s="41">
        <v>94</v>
      </c>
      <c r="M79" s="5">
        <v>82.8</v>
      </c>
    </row>
    <row r="80" spans="1:13" x14ac:dyDescent="0.35">
      <c r="A80" s="34">
        <v>79</v>
      </c>
      <c r="B80" s="34" t="s">
        <v>156</v>
      </c>
      <c r="C80" s="34" t="s">
        <v>94</v>
      </c>
      <c r="D80" s="34" t="s">
        <v>157</v>
      </c>
      <c r="E80" s="36">
        <v>918.12</v>
      </c>
      <c r="F80" s="38">
        <v>0.08</v>
      </c>
      <c r="G80" s="34" t="s">
        <v>16</v>
      </c>
      <c r="H80" s="41">
        <v>5</v>
      </c>
      <c r="I80" s="41">
        <v>79</v>
      </c>
      <c r="J80" s="41">
        <v>356</v>
      </c>
      <c r="K80" s="41">
        <v>141</v>
      </c>
      <c r="L80" s="41">
        <v>84</v>
      </c>
      <c r="M80" s="5">
        <v>82.8</v>
      </c>
    </row>
    <row r="81" spans="1:13" x14ac:dyDescent="0.35">
      <c r="A81" s="34">
        <v>80</v>
      </c>
      <c r="B81" s="34" t="s">
        <v>158</v>
      </c>
      <c r="C81" s="34" t="s">
        <v>101</v>
      </c>
      <c r="D81" s="34" t="s">
        <v>159</v>
      </c>
      <c r="E81" s="36">
        <v>15376</v>
      </c>
      <c r="F81" s="38">
        <v>0.1</v>
      </c>
      <c r="G81" s="34" t="s">
        <v>23</v>
      </c>
      <c r="H81" s="41">
        <v>4</v>
      </c>
      <c r="I81" s="41" t="s">
        <v>78</v>
      </c>
      <c r="J81" s="41">
        <v>162</v>
      </c>
      <c r="K81" s="41" t="s">
        <v>78</v>
      </c>
      <c r="L81" s="41">
        <v>36</v>
      </c>
      <c r="M81" s="5">
        <v>82.7</v>
      </c>
    </row>
    <row r="82" spans="1:13" x14ac:dyDescent="0.35">
      <c r="A82" s="34">
        <v>81</v>
      </c>
      <c r="B82" s="34" t="s">
        <v>160</v>
      </c>
      <c r="C82" s="34" t="s">
        <v>14</v>
      </c>
      <c r="D82" s="34" t="s">
        <v>161</v>
      </c>
      <c r="E82" s="36">
        <v>13752</v>
      </c>
      <c r="F82" s="38">
        <v>0.28799999999999998</v>
      </c>
      <c r="G82" s="34" t="s">
        <v>23</v>
      </c>
      <c r="H82" s="41">
        <v>44</v>
      </c>
      <c r="I82" s="41">
        <v>385</v>
      </c>
      <c r="J82" s="41">
        <v>1255</v>
      </c>
      <c r="K82" s="41">
        <v>31</v>
      </c>
      <c r="L82" s="41">
        <v>108</v>
      </c>
      <c r="M82" s="5">
        <v>82.6</v>
      </c>
    </row>
    <row r="83" spans="1:13" x14ac:dyDescent="0.35">
      <c r="A83" s="34">
        <v>82</v>
      </c>
      <c r="B83" s="34" t="s">
        <v>162</v>
      </c>
      <c r="C83" s="34" t="s">
        <v>21</v>
      </c>
      <c r="E83" s="36">
        <v>64192</v>
      </c>
      <c r="F83" s="38">
        <v>0.13539999999999999</v>
      </c>
      <c r="G83" s="34" t="s">
        <v>23</v>
      </c>
      <c r="H83" s="41">
        <v>8</v>
      </c>
      <c r="I83" s="41">
        <v>49</v>
      </c>
      <c r="J83" s="41">
        <v>464</v>
      </c>
      <c r="K83" s="41">
        <v>169</v>
      </c>
      <c r="L83" s="41">
        <v>106</v>
      </c>
      <c r="M83" s="5">
        <v>82.6</v>
      </c>
    </row>
    <row r="84" spans="1:13" x14ac:dyDescent="0.35">
      <c r="A84" s="34">
        <v>83</v>
      </c>
      <c r="B84" s="34" t="s">
        <v>163</v>
      </c>
      <c r="C84" s="34" t="s">
        <v>145</v>
      </c>
      <c r="E84" s="36">
        <v>64192</v>
      </c>
      <c r="F84" s="39">
        <v>0.47</v>
      </c>
      <c r="G84" s="34" t="s">
        <v>23</v>
      </c>
      <c r="H84" s="41">
        <v>2</v>
      </c>
      <c r="I84" s="41">
        <v>241</v>
      </c>
      <c r="J84" s="41">
        <v>748</v>
      </c>
      <c r="K84" s="41">
        <v>197</v>
      </c>
      <c r="L84" s="41">
        <v>44</v>
      </c>
      <c r="M84" s="5">
        <v>82.5</v>
      </c>
    </row>
    <row r="85" spans="1:13" x14ac:dyDescent="0.35">
      <c r="A85" s="34">
        <v>84</v>
      </c>
      <c r="B85" s="34" t="s">
        <v>164</v>
      </c>
      <c r="C85" s="34" t="s">
        <v>14</v>
      </c>
      <c r="D85" s="34" t="s">
        <v>165</v>
      </c>
      <c r="E85" s="36">
        <v>28658</v>
      </c>
      <c r="F85" s="38">
        <v>0.30099999999999999</v>
      </c>
      <c r="G85" s="34" t="s">
        <v>23</v>
      </c>
      <c r="H85" s="41">
        <v>45</v>
      </c>
      <c r="I85" s="41">
        <v>322</v>
      </c>
      <c r="J85" s="41">
        <v>449</v>
      </c>
      <c r="K85" s="41">
        <v>135</v>
      </c>
      <c r="L85" s="41">
        <v>61</v>
      </c>
      <c r="M85" s="5">
        <v>82.5</v>
      </c>
    </row>
    <row r="86" spans="1:13" x14ac:dyDescent="0.35">
      <c r="A86" s="34">
        <v>85</v>
      </c>
      <c r="B86" s="34" t="s">
        <v>166</v>
      </c>
      <c r="C86" s="34" t="s">
        <v>167</v>
      </c>
      <c r="D86" s="34" t="s">
        <v>167</v>
      </c>
      <c r="E86" s="36">
        <v>38250</v>
      </c>
      <c r="F86" s="38">
        <v>0.16</v>
      </c>
      <c r="G86" s="34" t="s">
        <v>23</v>
      </c>
      <c r="H86" s="41">
        <v>1</v>
      </c>
      <c r="I86" s="41">
        <v>342</v>
      </c>
      <c r="J86" s="41">
        <v>172</v>
      </c>
      <c r="K86" s="41" t="s">
        <v>78</v>
      </c>
      <c r="L86" s="41">
        <v>41</v>
      </c>
      <c r="M86" s="5">
        <v>82.4</v>
      </c>
    </row>
    <row r="87" spans="1:13" x14ac:dyDescent="0.35">
      <c r="A87" s="34">
        <v>86</v>
      </c>
      <c r="B87" s="34" t="s">
        <v>168</v>
      </c>
      <c r="C87" s="34" t="s">
        <v>14</v>
      </c>
      <c r="D87" s="34" t="s">
        <v>30</v>
      </c>
      <c r="E87" s="36">
        <v>309896</v>
      </c>
      <c r="F87" s="38">
        <v>0.14000000000000001</v>
      </c>
      <c r="G87" s="34" t="s">
        <v>16</v>
      </c>
      <c r="H87" s="41">
        <v>46</v>
      </c>
      <c r="I87" s="41">
        <v>57</v>
      </c>
      <c r="J87" s="41">
        <v>121</v>
      </c>
      <c r="K87" s="41">
        <v>38</v>
      </c>
      <c r="L87" s="41">
        <v>220</v>
      </c>
      <c r="M87" s="5">
        <v>82.4</v>
      </c>
    </row>
    <row r="88" spans="1:13" x14ac:dyDescent="0.35">
      <c r="A88" s="34">
        <v>87</v>
      </c>
      <c r="B88" s="34" t="s">
        <v>169</v>
      </c>
      <c r="C88" s="34" t="s">
        <v>145</v>
      </c>
      <c r="D88" s="34" t="s">
        <v>170</v>
      </c>
      <c r="E88" s="36">
        <v>545976</v>
      </c>
      <c r="F88" s="38">
        <v>0.63</v>
      </c>
      <c r="G88" s="34" t="s">
        <v>23</v>
      </c>
      <c r="H88" s="41">
        <v>3</v>
      </c>
      <c r="I88" s="41">
        <v>112</v>
      </c>
      <c r="J88" s="41">
        <v>1093</v>
      </c>
      <c r="K88" s="41">
        <v>74</v>
      </c>
      <c r="L88" s="41">
        <v>105</v>
      </c>
      <c r="M88" s="5">
        <v>82.3</v>
      </c>
    </row>
    <row r="89" spans="1:13" x14ac:dyDescent="0.35">
      <c r="A89" s="34">
        <v>88</v>
      </c>
      <c r="B89" s="34" t="s">
        <v>171</v>
      </c>
      <c r="C89" s="34" t="s">
        <v>83</v>
      </c>
      <c r="D89" s="34" t="s">
        <v>172</v>
      </c>
      <c r="E89" s="36">
        <v>48000</v>
      </c>
      <c r="F89" s="38">
        <v>0.75</v>
      </c>
      <c r="G89" s="34" t="s">
        <v>23</v>
      </c>
      <c r="H89" s="41">
        <v>2</v>
      </c>
      <c r="I89" s="41">
        <v>140</v>
      </c>
      <c r="J89" s="41">
        <v>443</v>
      </c>
      <c r="K89" s="41">
        <v>69</v>
      </c>
      <c r="L89" s="41">
        <v>104</v>
      </c>
      <c r="M89" s="5">
        <v>82.3</v>
      </c>
    </row>
    <row r="90" spans="1:13" x14ac:dyDescent="0.35">
      <c r="A90" s="34">
        <v>89</v>
      </c>
      <c r="B90" s="34" t="s">
        <v>173</v>
      </c>
      <c r="C90" s="34" t="s">
        <v>94</v>
      </c>
      <c r="D90" s="34" t="s">
        <v>174</v>
      </c>
      <c r="E90" s="36">
        <v>10148</v>
      </c>
      <c r="F90" s="38">
        <v>0.17</v>
      </c>
      <c r="G90" s="34" t="s">
        <v>23</v>
      </c>
      <c r="H90" s="41">
        <v>6</v>
      </c>
      <c r="I90" s="41">
        <v>43</v>
      </c>
      <c r="J90" s="41">
        <v>329</v>
      </c>
      <c r="K90" s="41">
        <v>105</v>
      </c>
      <c r="L90" s="41">
        <v>155</v>
      </c>
      <c r="M90" s="5">
        <v>82.2</v>
      </c>
    </row>
    <row r="91" spans="1:13" x14ac:dyDescent="0.35">
      <c r="A91" s="34">
        <v>90</v>
      </c>
      <c r="B91" s="34" t="s">
        <v>175</v>
      </c>
      <c r="C91" s="34" t="s">
        <v>14</v>
      </c>
      <c r="D91" s="34" t="s">
        <v>19</v>
      </c>
      <c r="E91" s="36">
        <v>59035</v>
      </c>
      <c r="F91" s="38">
        <v>0.25900000000000001</v>
      </c>
      <c r="G91" s="34" t="s">
        <v>23</v>
      </c>
      <c r="H91" s="41">
        <v>47</v>
      </c>
      <c r="I91" s="41">
        <v>213</v>
      </c>
      <c r="J91" s="41">
        <v>489</v>
      </c>
      <c r="K91" s="41">
        <v>20</v>
      </c>
      <c r="L91" s="41">
        <v>149</v>
      </c>
      <c r="M91" s="5">
        <v>82.2</v>
      </c>
    </row>
    <row r="92" spans="1:13" x14ac:dyDescent="0.35">
      <c r="A92" s="34">
        <v>91</v>
      </c>
      <c r="B92" s="34" t="s">
        <v>176</v>
      </c>
      <c r="C92" s="34" t="s">
        <v>14</v>
      </c>
      <c r="D92" s="34" t="s">
        <v>28</v>
      </c>
      <c r="E92" s="36">
        <v>63150</v>
      </c>
      <c r="F92" s="38">
        <v>0.41</v>
      </c>
      <c r="G92" s="34" t="s">
        <v>16</v>
      </c>
      <c r="H92" s="41">
        <v>48</v>
      </c>
      <c r="I92" s="41">
        <v>64</v>
      </c>
      <c r="J92" s="41">
        <v>74</v>
      </c>
      <c r="K92" s="41">
        <v>130</v>
      </c>
      <c r="L92" s="41">
        <v>172</v>
      </c>
      <c r="M92" s="5">
        <v>82.2</v>
      </c>
    </row>
    <row r="93" spans="1:13" x14ac:dyDescent="0.35">
      <c r="A93" s="34">
        <v>92</v>
      </c>
      <c r="B93" s="34" t="s">
        <v>177</v>
      </c>
      <c r="C93" s="34" t="s">
        <v>36</v>
      </c>
      <c r="D93" s="34" t="s">
        <v>178</v>
      </c>
      <c r="E93" s="36">
        <v>19523</v>
      </c>
      <c r="F93" s="38">
        <v>0.41</v>
      </c>
      <c r="G93" s="34" t="s">
        <v>23</v>
      </c>
      <c r="H93" s="41">
        <v>3</v>
      </c>
      <c r="I93" s="41">
        <v>141</v>
      </c>
      <c r="J93" s="41">
        <v>69</v>
      </c>
      <c r="K93" s="41">
        <v>121</v>
      </c>
      <c r="L93" s="41">
        <v>135</v>
      </c>
      <c r="M93" s="5">
        <v>82.1</v>
      </c>
    </row>
    <row r="94" spans="1:13" x14ac:dyDescent="0.35">
      <c r="A94" s="34">
        <v>93</v>
      </c>
      <c r="B94" s="34" t="s">
        <v>179</v>
      </c>
      <c r="C94" s="34" t="s">
        <v>14</v>
      </c>
      <c r="D94" s="34" t="s">
        <v>180</v>
      </c>
      <c r="E94" s="36">
        <v>122744</v>
      </c>
      <c r="F94" s="38">
        <v>0.86699999999999999</v>
      </c>
      <c r="G94" s="34" t="s">
        <v>23</v>
      </c>
      <c r="H94" s="41">
        <v>49</v>
      </c>
      <c r="I94" s="41">
        <v>490</v>
      </c>
      <c r="J94" s="41">
        <v>227</v>
      </c>
      <c r="K94" s="41">
        <v>73</v>
      </c>
      <c r="L94" s="41">
        <v>107</v>
      </c>
      <c r="M94" s="5">
        <v>82.1</v>
      </c>
    </row>
    <row r="95" spans="1:13" x14ac:dyDescent="0.35">
      <c r="A95" s="34">
        <v>94</v>
      </c>
      <c r="B95" s="34" t="s">
        <v>181</v>
      </c>
      <c r="C95" s="34" t="s">
        <v>21</v>
      </c>
      <c r="D95" s="34" t="s">
        <v>22</v>
      </c>
      <c r="E95" s="36">
        <v>12745</v>
      </c>
      <c r="F95" s="38">
        <v>0.6</v>
      </c>
      <c r="G95" s="34" t="s">
        <v>16</v>
      </c>
      <c r="H95" s="41">
        <v>9</v>
      </c>
      <c r="I95" s="41">
        <v>185</v>
      </c>
      <c r="J95" s="41">
        <v>386</v>
      </c>
      <c r="K95" s="41">
        <v>76</v>
      </c>
      <c r="L95" s="41">
        <v>101</v>
      </c>
      <c r="M95" s="5">
        <v>82</v>
      </c>
    </row>
    <row r="96" spans="1:13" x14ac:dyDescent="0.35">
      <c r="A96" s="34">
        <v>95</v>
      </c>
      <c r="B96" s="34" t="s">
        <v>182</v>
      </c>
      <c r="C96" s="34" t="s">
        <v>145</v>
      </c>
      <c r="D96" s="34" t="s">
        <v>170</v>
      </c>
      <c r="E96" s="36">
        <v>56640</v>
      </c>
      <c r="F96" s="38">
        <v>0.48</v>
      </c>
      <c r="G96" s="34" t="s">
        <v>23</v>
      </c>
      <c r="H96" s="41">
        <v>4</v>
      </c>
      <c r="I96" s="41">
        <v>526</v>
      </c>
      <c r="J96" s="41">
        <v>72</v>
      </c>
      <c r="K96" s="41">
        <v>267</v>
      </c>
      <c r="L96" s="41">
        <v>89</v>
      </c>
      <c r="M96" s="5">
        <v>82</v>
      </c>
    </row>
    <row r="97" spans="1:13" x14ac:dyDescent="0.35">
      <c r="A97" s="34">
        <v>96</v>
      </c>
      <c r="B97" s="34" t="s">
        <v>183</v>
      </c>
      <c r="C97" s="34" t="s">
        <v>184</v>
      </c>
      <c r="D97" s="34" t="s">
        <v>185</v>
      </c>
      <c r="E97" s="36">
        <v>1682</v>
      </c>
      <c r="F97" s="38">
        <v>0.35</v>
      </c>
      <c r="G97" s="34" t="s">
        <v>23</v>
      </c>
      <c r="H97" s="41">
        <v>1</v>
      </c>
      <c r="I97" s="41">
        <v>300</v>
      </c>
      <c r="J97" s="41">
        <v>42</v>
      </c>
      <c r="K97" s="41" t="s">
        <v>78</v>
      </c>
      <c r="L97" s="41">
        <v>125</v>
      </c>
      <c r="M97" s="5">
        <v>81.900000000000006</v>
      </c>
    </row>
    <row r="98" spans="1:13" x14ac:dyDescent="0.35">
      <c r="A98" s="34">
        <v>97</v>
      </c>
      <c r="B98" s="34" t="s">
        <v>186</v>
      </c>
      <c r="C98" s="34" t="s">
        <v>101</v>
      </c>
      <c r="D98" s="34" t="s">
        <v>187</v>
      </c>
      <c r="E98" s="36">
        <v>18652</v>
      </c>
      <c r="F98" s="38">
        <v>0.3</v>
      </c>
      <c r="G98" s="34" t="s">
        <v>23</v>
      </c>
      <c r="H98" s="41">
        <v>5</v>
      </c>
      <c r="I98" s="41" t="s">
        <v>78</v>
      </c>
      <c r="J98" s="41">
        <v>370</v>
      </c>
      <c r="K98" s="41" t="s">
        <v>78</v>
      </c>
      <c r="L98" s="41">
        <v>37</v>
      </c>
      <c r="M98" s="5">
        <v>81.900000000000006</v>
      </c>
    </row>
    <row r="99" spans="1:13" x14ac:dyDescent="0.35">
      <c r="A99" s="34">
        <v>98</v>
      </c>
      <c r="B99" s="34" t="s">
        <v>188</v>
      </c>
      <c r="C99" s="34" t="s">
        <v>119</v>
      </c>
      <c r="D99" s="34" t="s">
        <v>189</v>
      </c>
      <c r="E99" s="36">
        <v>27992</v>
      </c>
      <c r="F99" s="38">
        <v>0.3</v>
      </c>
      <c r="G99" s="34" t="s">
        <v>23</v>
      </c>
      <c r="H99" s="41">
        <v>2</v>
      </c>
      <c r="I99" s="41">
        <v>195</v>
      </c>
      <c r="J99" s="41">
        <v>636</v>
      </c>
      <c r="K99" s="41" t="s">
        <v>78</v>
      </c>
      <c r="L99" s="41">
        <v>39</v>
      </c>
      <c r="M99" s="5">
        <v>81.8</v>
      </c>
    </row>
    <row r="100" spans="1:13" x14ac:dyDescent="0.35">
      <c r="A100" s="34">
        <v>99</v>
      </c>
      <c r="B100" s="34" t="s">
        <v>190</v>
      </c>
      <c r="C100" s="34" t="s">
        <v>14</v>
      </c>
      <c r="D100" s="34" t="s">
        <v>15</v>
      </c>
      <c r="E100" s="36">
        <v>63798</v>
      </c>
      <c r="F100" s="38">
        <v>0.19</v>
      </c>
      <c r="G100" s="34" t="s">
        <v>16</v>
      </c>
      <c r="H100" s="41">
        <v>50</v>
      </c>
      <c r="I100" s="41">
        <v>420</v>
      </c>
      <c r="J100" s="41">
        <v>118</v>
      </c>
      <c r="K100" s="41">
        <v>218</v>
      </c>
      <c r="L100" s="41">
        <v>77</v>
      </c>
      <c r="M100" s="5">
        <v>81.8</v>
      </c>
    </row>
    <row r="101" spans="1:13" x14ac:dyDescent="0.35">
      <c r="A101" s="34">
        <v>100</v>
      </c>
      <c r="B101" s="34" t="s">
        <v>191</v>
      </c>
      <c r="C101" s="34" t="s">
        <v>36</v>
      </c>
      <c r="D101" s="34" t="s">
        <v>37</v>
      </c>
      <c r="E101" s="36">
        <v>5804</v>
      </c>
      <c r="F101" s="38">
        <v>0.24</v>
      </c>
      <c r="G101" s="34" t="s">
        <v>16</v>
      </c>
      <c r="H101" s="41">
        <v>4</v>
      </c>
      <c r="I101" s="41">
        <v>505</v>
      </c>
      <c r="J101" s="41">
        <v>13</v>
      </c>
      <c r="K101" s="41" t="s">
        <v>78</v>
      </c>
      <c r="L101" s="41">
        <v>392</v>
      </c>
      <c r="M101" s="5">
        <v>81.8</v>
      </c>
    </row>
    <row r="102" spans="1:13" x14ac:dyDescent="0.35">
      <c r="G102" s="34">
        <f>COUNTIF(G2:G101,"Public")</f>
        <v>56</v>
      </c>
    </row>
    <row r="103" spans="1:13" x14ac:dyDescent="0.35">
      <c r="C103" s="34">
        <f>COUNTIF(C2:C101,"USA")</f>
        <v>50</v>
      </c>
      <c r="F103" s="40">
        <f>AVERAGE(F2:F101)</f>
        <v>0.28116224489795921</v>
      </c>
      <c r="G103" s="34">
        <f>COUNTIF(G2:G101,"Private")</f>
        <v>44</v>
      </c>
    </row>
    <row r="104" spans="1:13" x14ac:dyDescent="0.35">
      <c r="F104" s="40">
        <f>AVERAGE(F2:F51)</f>
        <v>0.22101020408163263</v>
      </c>
    </row>
    <row r="105" spans="1:13" x14ac:dyDescent="0.35">
      <c r="F105" s="40">
        <f>AVERAGE(F52:F101)</f>
        <v>0.34131428571428579</v>
      </c>
    </row>
    <row r="106" spans="1:13" x14ac:dyDescent="0.35">
      <c r="D106" s="47" t="str">
        <f>VLOOKUP(96, A2:M101, 2, FALSE)</f>
        <v>National Taiwan University</v>
      </c>
    </row>
    <row r="120" spans="1:1" x14ac:dyDescent="0.35">
      <c r="A120" s="34">
        <f>VLOOKUP(99, A2:M101, 5, FALSE)</f>
        <v>63798</v>
      </c>
    </row>
  </sheetData>
  <conditionalFormatting sqref="F1:F1048576">
    <cfRule type="top10" dxfId="2" priority="19" percent="1" rank="10"/>
    <cfRule type="top10" dxfId="1" priority="20" percent="1" bottom="1" rank="10"/>
    <cfRule type="top10" dxfId="0" priority="21" percent="1" rank="10"/>
  </conditionalFormatting>
  <conditionalFormatting sqref="E2:E10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2:I104857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{330A534F-4D67-41A7-BE91-F374BB86C39D}</x14:id>
        </ext>
      </extLst>
    </cfRule>
  </conditionalFormatting>
  <conditionalFormatting sqref="I1:L10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{33E41821-1D74-4521-9436-A75A55DAE689}</x14:id>
        </ext>
      </extLst>
    </cfRule>
  </conditionalFormatting>
  <conditionalFormatting sqref="I1:L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{49485362-D9F3-4A7D-BC03-BFBAC9697AD8}</x14:id>
        </ext>
      </extLst>
    </cfRule>
  </conditionalFormatting>
  <conditionalFormatting sqref="H1:L1 H102:L1048576 I2:L10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{D20AA567-09DD-49DB-9950-99B39E99A9DA}</x14:id>
        </ext>
      </extLst>
    </cfRule>
  </conditionalFormatting>
  <conditionalFormatting sqref="H102:H1048576 H1">
    <cfRule type="dataBar" priority="3"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{F9E79CD8-328D-4520-84F6-5913D95DB482}</x14:id>
        </ext>
      </extLst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0A534F-4D67-41A7-BE91-F374BB86C3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I102:I1048576</xm:sqref>
        </x14:conditionalFormatting>
        <x14:conditionalFormatting xmlns:xm="http://schemas.microsoft.com/office/excel/2006/main">
          <x14:cfRule type="dataBar" id="{33E41821-1D74-4521-9436-A75A55DAE6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I1:L101</xm:sqref>
        </x14:conditionalFormatting>
        <x14:conditionalFormatting xmlns:xm="http://schemas.microsoft.com/office/excel/2006/main">
          <x14:cfRule type="dataBar" id="{49485362-D9F3-4A7D-BC03-BFBAC9697A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I1:L1048576</xm:sqref>
        </x14:conditionalFormatting>
        <x14:conditionalFormatting xmlns:xm="http://schemas.microsoft.com/office/excel/2006/main">
          <x14:cfRule type="dataBar" id="{D20AA567-09DD-49DB-9950-99B39E99A9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H1:L1 H102:L1048576 I2:L101</xm:sqref>
        </x14:conditionalFormatting>
        <x14:conditionalFormatting xmlns:xm="http://schemas.microsoft.com/office/excel/2006/main">
          <x14:cfRule type="iconSet" priority="11" id="{9BA33FC6-E9D9-4610-A833-4823DA96525B}">
            <x14:iconSet custom="1">
              <x14:cfvo type="percent">
                <xm:f>0</xm:f>
              </x14:cfvo>
              <x14:cfvo type="percent">
                <xm:f>0</xm:f>
              </x14:cfvo>
              <x14:cfvo type="num" gte="0">
                <xm:f>10</xm:f>
              </x14:cfvo>
              <x14:cfIcon iconSet="NoIcons" iconId="0"/>
              <x14:cfIcon iconSet="3Arrows" iconId="2"/>
              <x14:cfIcon iconSet="3Triangles" iconId="1"/>
            </x14:iconSet>
          </x14:cfRule>
          <x14:cfRule type="dataBar" id="{F9E79CD8-328D-4520-84F6-5913D95DB4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H102:H1048576 H1</xm:sqref>
        </x14:conditionalFormatting>
        <x14:conditionalFormatting xmlns:xm="http://schemas.microsoft.com/office/excel/2006/main">
          <x14:cfRule type="iconSet" priority="2" id="{045F7408-72A2-4896-8BDE-0A5BA1FA03AB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10</xm:f>
              </x14:cfvo>
              <x14:cfIcon iconSet="NoIcons" iconId="0"/>
              <x14:cfIcon iconSet="3Arrows" iconId="2"/>
              <x14:cfIcon iconSet="3Triangles" iconId="1"/>
            </x14:iconSet>
          </x14:cfRule>
          <xm:sqref>G2:G101</xm:sqref>
        </x14:conditionalFormatting>
        <x14:conditionalFormatting xmlns:xm="http://schemas.microsoft.com/office/excel/2006/main">
          <x14:cfRule type="iconSet" priority="1" id="{A37E4D35-0C8C-478B-B4CA-5166E00D1CD9}">
            <x14:iconSet custom="1">
              <x14:cfvo type="percent">
                <xm:f>0</xm:f>
              </x14:cfvo>
              <x14:cfvo type="percent">
                <xm:f>0</xm:f>
              </x14:cfvo>
              <x14:cfvo type="num" gte="0">
                <xm:f>10</xm:f>
              </x14:cfvo>
              <x14:cfIcon iconSet="NoIcons" iconId="0"/>
              <x14:cfIcon iconSet="3Arrows" iconId="2"/>
              <x14:cfIcon iconSet="3Triangles" iconId="1"/>
            </x14:iconSet>
          </x14:cfRule>
          <xm:sqref>H1:H1048576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L5"/>
  <sheetViews>
    <sheetView workbookViewId="0">
      <selection activeCell="L1" sqref="L1"/>
    </sheetView>
  </sheetViews>
  <sheetFormatPr defaultRowHeight="14.5" x14ac:dyDescent="0.35"/>
  <cols>
    <col min="1" max="1" width="11.36328125" customWidth="1"/>
    <col min="2" max="2" width="14.36328125" customWidth="1"/>
    <col min="3" max="3" width="15" customWidth="1"/>
    <col min="4" max="4" width="9" customWidth="1"/>
    <col min="5" max="5" width="14" customWidth="1"/>
    <col min="6" max="6" width="13.453125" customWidth="1"/>
    <col min="7" max="7" width="16.54296875" customWidth="1"/>
    <col min="8" max="8" width="13.36328125" customWidth="1"/>
    <col min="9" max="9" width="15" customWidth="1"/>
    <col min="10" max="10" width="9.81640625" customWidth="1"/>
    <col min="11" max="11" width="9.54296875" customWidth="1"/>
    <col min="12" max="12" width="14" customWidth="1"/>
  </cols>
  <sheetData>
    <row r="1" spans="1:12" ht="23.5" x14ac:dyDescent="0.55000000000000004">
      <c r="A1" s="8" t="s">
        <v>196</v>
      </c>
      <c r="L1" t="str">
        <f>VLOOKUP(1, CollegeRanking!A2:M101, 2, FALSE)</f>
        <v xml:space="preserve">Harvard University  </v>
      </c>
    </row>
    <row r="2" spans="1:12" ht="24" thickBot="1" x14ac:dyDescent="0.6">
      <c r="A2" s="8" t="s">
        <v>198</v>
      </c>
      <c r="B2" s="48" t="s">
        <v>199</v>
      </c>
      <c r="C2" s="9" t="s">
        <v>200</v>
      </c>
      <c r="D2" s="10" t="s">
        <v>208</v>
      </c>
      <c r="E2" s="10"/>
      <c r="F2" s="10"/>
      <c r="G2" s="10"/>
      <c r="H2" s="10"/>
      <c r="I2" s="10"/>
      <c r="J2" s="10"/>
    </row>
    <row r="3" spans="1:12" ht="15.5" thickTop="1" thickBot="1" x14ac:dyDescent="0.4">
      <c r="A3" s="15" t="s">
        <v>202</v>
      </c>
      <c r="B3" s="11" t="s">
        <v>4</v>
      </c>
      <c r="C3" s="11" t="s">
        <v>5</v>
      </c>
      <c r="D3" s="11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2" t="s">
        <v>2</v>
      </c>
      <c r="L3" s="13" t="s">
        <v>3</v>
      </c>
    </row>
    <row r="4" spans="1:12" ht="15" customHeight="1" thickTop="1" thickBot="1" x14ac:dyDescent="0.45">
      <c r="A4" s="14" t="s">
        <v>204</v>
      </c>
      <c r="B4" s="29">
        <f>AVERAGE(CollegeRanking!E2:E51)</f>
        <v>116253.82</v>
      </c>
      <c r="C4" s="17">
        <f>AVERAGE(CollegeRanking!F2:F51)</f>
        <v>0.22101020408163263</v>
      </c>
      <c r="D4" s="19" t="s">
        <v>16</v>
      </c>
      <c r="E4" s="20">
        <f>MODE(CollegeRanking!H2:H51)</f>
        <v>1</v>
      </c>
      <c r="F4" s="21">
        <f>AVERAGE(CollegeRanking!I2:I51)</f>
        <v>76.755102040816325</v>
      </c>
      <c r="G4" s="22">
        <f>AVERAGE(CollegeRanking!J2:J51)</f>
        <v>203.08163265306123</v>
      </c>
      <c r="H4" s="22">
        <f>AVERAGE(CollegeRanking!K2:K51)</f>
        <v>43.734693877551024</v>
      </c>
      <c r="I4" s="22">
        <f>AVERAGE(CollegeRanking!L2:L51)</f>
        <v>43.4</v>
      </c>
      <c r="J4" s="23">
        <f>AVERAGE(CollegeRanking!M2:M51)</f>
        <v>86.424000000000021</v>
      </c>
      <c r="K4" s="30" t="s">
        <v>195</v>
      </c>
      <c r="L4" s="31" t="s">
        <v>194</v>
      </c>
    </row>
    <row r="5" spans="1:12" ht="17.5" thickTop="1" x14ac:dyDescent="0.4">
      <c r="A5" s="16" t="s">
        <v>197</v>
      </c>
      <c r="B5" s="32">
        <f>AVERAGE(CollegeRanking!E52:E101)</f>
        <v>73546.182400000005</v>
      </c>
      <c r="C5" s="18">
        <f>AVERAGE(CollegeRanking!F52:F101)</f>
        <v>0.34131428571428579</v>
      </c>
      <c r="D5" s="24" t="s">
        <v>23</v>
      </c>
      <c r="E5" s="25">
        <f>MODE(CollegeRanking!H52:H101)</f>
        <v>2</v>
      </c>
      <c r="F5" s="26">
        <f>AVERAGE(CollegeRanking!I52:I101)</f>
        <v>193.54347826086956</v>
      </c>
      <c r="G5" s="27">
        <f>AVERAGE(CollegeRanking!J52:J101)</f>
        <v>379.45652173913044</v>
      </c>
      <c r="H5" s="27">
        <f>AVERAGE(CollegeRanking!K52:K101)</f>
        <v>94.642857142857139</v>
      </c>
      <c r="I5" s="27">
        <f>AVERAGE(CollegeRanking!L52:L101)</f>
        <v>104.96</v>
      </c>
      <c r="J5" s="28">
        <f>AVERAGE(CollegeRanking!M52:M101)</f>
        <v>83.012</v>
      </c>
      <c r="K5" s="24" t="s">
        <v>201</v>
      </c>
      <c r="L5" s="33" t="s">
        <v>205</v>
      </c>
    </row>
  </sheetData>
  <pageMargins left="0.7" right="0.7" top="0.75" bottom="0.75" header="0.3" footer="0.3"/>
  <pageSetup orientation="portrait" r:id="rId1"/>
  <ignoredErrors>
    <ignoredError sqref="E5" formulaRange="1"/>
  </ignoredErrors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Tuition Averages</vt:lpstr>
      <vt:lpstr>CollegeRanking</vt:lpstr>
      <vt:lpstr>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Vernice Turnbull</dc:creator>
  <cp:lastModifiedBy>Vernice Turnbull</cp:lastModifiedBy>
  <dcterms:created xsi:type="dcterms:W3CDTF">2023-07-02T15:57:29Z</dcterms:created>
  <dcterms:modified xsi:type="dcterms:W3CDTF">2023-11-06T19:42:01Z</dcterms:modified>
</cp:coreProperties>
</file>